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평가기준" sheetId="1" r:id="rId4"/>
    <sheet state="visible" name="응대기준 (100점) _1021 수정ver" sheetId="2" r:id="rId5"/>
    <sheet state="visible" name="응대기준_참조" sheetId="3" r:id="rId6"/>
    <sheet state="hidden" name="응대내용 (25점)" sheetId="4" r:id="rId7"/>
    <sheet state="hidden" name="응대품질 (60점)" sheetId="5" r:id="rId8"/>
    <sheet state="hidden" name="서비스 (15점)" sheetId="6" r:id="rId9"/>
    <sheet state="hidden" name="응대내용 _ 참조" sheetId="7" r:id="rId10"/>
    <sheet state="hidden" name="기준" sheetId="8" r:id="rId11"/>
  </sheets>
  <definedNames>
    <definedName hidden="1" localSheetId="3" name="_xlnm._FilterDatabase">'응대내용 (25점)'!$C$6:$I$32</definedName>
    <definedName hidden="1" localSheetId="4" name="_xlnm._FilterDatabase">'응대품질 (60점)'!$B$5:$I$74</definedName>
  </definedNames>
  <calcPr/>
  <extLst>
    <ext uri="GoogleSheetsCustomDataVersion2">
      <go:sheetsCustomData xmlns:go="http://customooxmlschemas.google.com/" r:id="rId12" roundtripDataChecksum="GY3LR97AU4yD/3EqoTW0XuzHi4bXw1TH0zdO6KRVhiE="/>
    </ext>
  </extLst>
</workbook>
</file>

<file path=xl/sharedStrings.xml><?xml version="1.0" encoding="utf-8"?>
<sst xmlns="http://schemas.openxmlformats.org/spreadsheetml/2006/main" count="1223" uniqueCount="580">
  <si>
    <t>평가기준</t>
  </si>
  <si>
    <t>평가방법</t>
  </si>
  <si>
    <t>채널별</t>
  </si>
  <si>
    <t>10/21 평가방법 수정</t>
  </si>
  <si>
    <t xml:space="preserve">10/21 수정 내용 </t>
  </si>
  <si>
    <t>10/24 수정 내용</t>
  </si>
  <si>
    <t>대항목</t>
  </si>
  <si>
    <t>NO</t>
  </si>
  <si>
    <t>중항목</t>
  </si>
  <si>
    <t>소항목</t>
  </si>
  <si>
    <t>평가내용</t>
  </si>
  <si>
    <t>배점</t>
  </si>
  <si>
    <t>자동 NLP</t>
  </si>
  <si>
    <t>자동 LLM</t>
  </si>
  <si>
    <t>수동평가</t>
  </si>
  <si>
    <t>콜</t>
  </si>
  <si>
    <t>챗</t>
  </si>
  <si>
    <t>게시판</t>
  </si>
  <si>
    <t>변경 (10/21)</t>
  </si>
  <si>
    <t>변경 (10/24)</t>
  </si>
  <si>
    <t>S</t>
  </si>
  <si>
    <t>응대품질</t>
  </si>
  <si>
    <t>인사</t>
  </si>
  <si>
    <t xml:space="preserve">[첫인사]
[끝인사] </t>
  </si>
  <si>
    <t xml:space="preserve">스크립트 첫 인사 내용대로 발화
스크립트 끝 인사 내용대로 발화 </t>
  </si>
  <si>
    <t>Y</t>
  </si>
  <si>
    <t>o</t>
  </si>
  <si>
    <t>화답인사</t>
  </si>
  <si>
    <t xml:space="preserve">고객의 인사에 대한 적절한 화답
고객의 인사 )
㉠안녕하세요
㉡수고하십니다.
㉢여보세요 ? </t>
  </si>
  <si>
    <t xml:space="preserve">고객의 인사에 대한 적절한 화답
** 참조 사항으로 발화되어야 함 </t>
  </si>
  <si>
    <t>x</t>
  </si>
  <si>
    <t xml:space="preserve">고객의 연결 지연에 대한 불편
첫인사 이후,
고객의 발화에서
㉠" 힘들어요 "
㉡" 안돼요 "
가 확인되면, </t>
  </si>
  <si>
    <t xml:space="preserve">고객의 불현에 대한 적절한 공감
** 참조 사항으로 발화되어야 함 </t>
  </si>
  <si>
    <t>참조 내 미미한 응답 영역 변경</t>
  </si>
  <si>
    <t>공감 멘트</t>
  </si>
  <si>
    <t>긍 / 부정 상황에 대한 충분한 공감</t>
  </si>
  <si>
    <t>부정적 상황에 대한 적극적 공감
긍정적 상황에 대한 적극적 공감</t>
  </si>
  <si>
    <t>말겹침</t>
  </si>
  <si>
    <t xml:space="preserve">동시 발화가 이루어지지 않게 함
{상황은 ' 상담원 발화 중 고객의 말겹침' 만 한정한다.} </t>
  </si>
  <si>
    <t>동시 발화 : 고객이 말을 시작하면 상담원은 즉시 종료한다</t>
  </si>
  <si>
    <t>무응답</t>
  </si>
  <si>
    <t xml:space="preserve">고객 양해 없는 무응답이 발생하지 않도록 한다 </t>
  </si>
  <si>
    <t>[사전 양해 안내 멘트]
&gt; 잠시만 기다려주시겠습니까 ? 
[사후 양해 안내 멘트]
&gt; 기다려 주셔서 감사합니다.
&gt; 오래 기다리셨습니다.
&gt; 양해해 주셔서 감사합니다.
고객의 대기 시간은 15s 가 넘지 않는다.</t>
  </si>
  <si>
    <t xml:space="preserve">FAIL </t>
  </si>
  <si>
    <t>욕설, 금지어 표현 일체</t>
  </si>
  <si>
    <t xml:space="preserve">발화하지 않는다 </t>
  </si>
  <si>
    <t xml:space="preserve">Fail </t>
  </si>
  <si>
    <t xml:space="preserve">상담원의 한숨, 단선 </t>
  </si>
  <si>
    <t xml:space="preserve">한숨 쉬지 않는다. 
상담원은 먼저 전화를 종료하지 않는다 </t>
  </si>
  <si>
    <t>평가 기준 변경 내용 반영 (단선)</t>
  </si>
  <si>
    <t>전문적 상담 태도</t>
  </si>
  <si>
    <t xml:space="preserve">말끊기 </t>
  </si>
  <si>
    <t>상담원의 말끊기</t>
  </si>
  <si>
    <t>평가 기준 변경 내용 반영</t>
  </si>
  <si>
    <t>배점변경 (+1)</t>
  </si>
  <si>
    <t>고객향 상담</t>
  </si>
  <si>
    <t xml:space="preserve">전문적인 상담 어조를 통해 적절한 공감이 반영되어 무시나 무관심이 없는 고객향 상담을 완성한다 </t>
  </si>
  <si>
    <t>참조 내 금지어 변경</t>
  </si>
  <si>
    <t>상담 어미</t>
  </si>
  <si>
    <t>다.까.요' 로 말맺음</t>
  </si>
  <si>
    <t>전문적 상담 화법</t>
  </si>
  <si>
    <t>말더듬이나 머뭇거림이 없는 전문적인 상담</t>
  </si>
  <si>
    <t>적극성</t>
  </si>
  <si>
    <t xml:space="preserve">명확한 답변을 피하거나 회피하는 표헌을 하지 않는다 </t>
  </si>
  <si>
    <t>편리</t>
  </si>
  <si>
    <t xml:space="preserve">고객이 발화한 사실에 대해 다시 재질의 없이 상담 진행됨 </t>
  </si>
  <si>
    <t>신속성</t>
  </si>
  <si>
    <t>신속한 응대</t>
  </si>
  <si>
    <t xml:space="preserve">말투 어조 </t>
  </si>
  <si>
    <t>상담원의 어조</t>
  </si>
  <si>
    <t>배점변경 (-5)</t>
  </si>
  <si>
    <t>응대내용</t>
  </si>
  <si>
    <t>개인정보처리방침</t>
  </si>
  <si>
    <t>필수 개인정보 확인</t>
  </si>
  <si>
    <t xml:space="preserve">** 필수 확인 항목
성함 
연락처 </t>
  </si>
  <si>
    <t>과도한 개인 정보 확인</t>
  </si>
  <si>
    <t xml:space="preserve">개인 정보 보호가 필요 없는 경우에 개인 정보 확인을 진행함  </t>
  </si>
  <si>
    <t>Fail</t>
  </si>
  <si>
    <t>정확도</t>
  </si>
  <si>
    <t>정확한 상담</t>
  </si>
  <si>
    <t xml:space="preserve">업무 매뉴얼대로 상담이 진행되었는가
FAQ 대로 상담이 진행되었는가 </t>
  </si>
  <si>
    <t>해결력</t>
  </si>
  <si>
    <t>문제 해결</t>
  </si>
  <si>
    <t>고객의 문의나 궁금증에 대한 해결</t>
  </si>
  <si>
    <t>쉬운 설명</t>
  </si>
  <si>
    <t xml:space="preserve">고객 ( 파트너 )는 상담원의 설명을 쉽고 정확하게 이해할 수 있었는가 </t>
  </si>
  <si>
    <t>적극적 응대</t>
  </si>
  <si>
    <t xml:space="preserve">고객의 편의를 위해 적극적인 상담을 진행한다 </t>
  </si>
  <si>
    <t>정확성</t>
  </si>
  <si>
    <t xml:space="preserve">취소 환불 수수료 </t>
  </si>
  <si>
    <t xml:space="preserve">상품 정보 내'취소 및 환불 규정' 에 있는 환불 수수료 기준안에 대한 정확한 안내 </t>
  </si>
  <si>
    <t>평가 기준에서 제거</t>
  </si>
  <si>
    <t>서비스</t>
  </si>
  <si>
    <t xml:space="preserve">취소 금액 안내 </t>
  </si>
  <si>
    <t>고객 지불 금액과 환불 금액의 정확한 반영</t>
  </si>
  <si>
    <t xml:space="preserve">취소 가능 시점 </t>
  </si>
  <si>
    <t xml:space="preserve">기간계 연동되어 인입 시간 기준 취소 가능 여부 안내 </t>
  </si>
  <si>
    <t>상품정보</t>
  </si>
  <si>
    <t xml:space="preserve">상품 정보를 기반하여 고객 안내가 정확하게 이루어졌는가 </t>
  </si>
  <si>
    <t>분류</t>
  </si>
  <si>
    <t>항목</t>
  </si>
  <si>
    <t>준수사항</t>
  </si>
  <si>
    <t>준수</t>
  </si>
  <si>
    <t>감점</t>
  </si>
  <si>
    <t>평가 사안</t>
  </si>
  <si>
    <t>측정 방안</t>
  </si>
  <si>
    <t>측정 방법</t>
  </si>
  <si>
    <t>[첫인사] 
[끝인사]</t>
  </si>
  <si>
    <t xml:space="preserve">스크립트 첫 인사 내용대로 발화 
기준1 )  콜 인입 후 5초 내 발화 
기준2 )  안녕하세요. 패션을 사랑하는 무신사 서포터 OOO 입니다. 
&gt; 기준 텍스트 : 안녕 &amp; 무신사 &amp; 서포터 
스크립트 끝 인사 내용대로 발화 
기준1 ) 콜 종료 전 20초 내 발화를 발화 시도로 본다 
기준2 ) 혹시 더 궁금하신 사항은 없으실까요 ? 저는
&gt; 기준 텍스트 : 궁금  </t>
  </si>
  <si>
    <t xml:space="preserve">[첫인사] 
상담 시작된 이후 
5초 이내, 
첫인사 검출되지 않음 </t>
  </si>
  <si>
    <t xml:space="preserve">첫인사 영역 
상담 시작 후 5초내 미흡한 인사 발생 
미흡한 인사 : 기준 텍스트에서 전혀 검출되지 않음 
&gt; 기준 텍스트 : 안녕 &amp; 무신사 &amp; 서포터 
</t>
  </si>
  <si>
    <t xml:space="preserve">[끝인사] 
상담 종료 전 
20초 이내, 
끝인사 검출되지 않음 </t>
  </si>
  <si>
    <t xml:space="preserve">끝인사 영역 
상담 종료 전 20초 내 미흡한 인사 발생 
미흡한 인사 : 기준 텍스트에서 전혀 검출되지 않음 
&gt; 기준 텍스트 : 안녕 &amp; 무신사 &amp; 서포터 </t>
  </si>
  <si>
    <t>[첫인사] 
상담 시작된 이후 
5초 이내, 
첫인사 검출</t>
  </si>
  <si>
    <t xml:space="preserve">경우 1) 첫인사와 끝인사 정상 발화
&gt; 첫인사 기준 텍스트 : 안녕 &amp; 무신사 &amp; 서포터 
&gt; 끝인사 기준 텍스트 : 궁금 &amp; 무신사 
경우 2) 인사는 시도되었으나, 고객 발화 시작되어 멈춤 
&gt; 상담원의 인사 시도 중, 고객 말겹침 
경우 3) 고객 마지막 발화 후 3s 이내에 끝인사가 이루어지지 않고 종료되었을 경우, 차감 없음 
&gt; STT 상 고객 대답 후 상담 종료된 경우에는, 차감이 진행되지 않는다 ( 단선의 기준 시간을 구분하지 않음 ) </t>
  </si>
  <si>
    <t>[끝인사] 
상담 종료 전 
20초 이내, 
끝인사 검출</t>
  </si>
  <si>
    <t>평가 목적</t>
  </si>
  <si>
    <t xml:space="preserve">고객 ( 발화자 ) 의 인사에 즉시 대답했는가 
관계 형성이 제대로 이루어졌는가 
●FRT / AHT 분석의 용이함을 반영하기 위해 화답인사 항목 반영 ; 턴테이킹 앵커로 이용 가능 ( 통화 흐름 끊고 구간 나누기 ) 
   ㄴ 오프닝 ( 시작 ), 보류 해제 ( 다시 시작 ), 클로징 ( 끝 ) 의 표지판으로 이용 가능 </t>
  </si>
  <si>
    <t>대분류</t>
  </si>
  <si>
    <t xml:space="preserve">[인사 화답]_x000a__x000a_고객의 인사에 대한 적절한 화답_x000a_* 고객의 인사 ) _x000a_㉠안녕하세요 _x000a_㉡수고하십니다. _x000a_㉢여보세요 ? </t>
  </si>
  <si>
    <t xml:space="preserve">고객의 인사에 대한 적절한 화답 
** 참조 사항으로 발화되어야 함 </t>
  </si>
  <si>
    <t xml:space="preserve">무시 </t>
  </si>
  <si>
    <t xml:space="preserve">참조 예시로 나오는 응답이 진행되지 않고 상담원이 자기 발화 시작함 </t>
  </si>
  <si>
    <t xml:space="preserve">단답으로 화답 </t>
  </si>
  <si>
    <t xml:space="preserve">네 / 예 / 네 말씀하세요. _x000a_의 대답으로 화답할 경우 ( 미미한 화답 ) </t>
  </si>
  <si>
    <t xml:space="preserve">인사 내용에 대한 인사 화답이 이루어져야 하며, 인사 화답의 종류는 
네 감사합니다 
네 안녕하세요 
네 반갑습니다 
로 한정한다. </t>
  </si>
  <si>
    <t>고객의 인사에 대한 화답이 정상적으로 발화됨 
[검사 조건식] 
네&amp;감사 
네&amp;고맙
감사
고맙
네&amp;반갑
반갑
안녕
네&amp;안녕</t>
  </si>
  <si>
    <t xml:space="preserve">[불편 화답]_x000a__x000a_고객의 연결 지연에 대한 불편 _x000a_첫인사 이후, _x000a_고객의 발화에서 _x000a__x000a_" 힘들어요 " _x000a_" 안돼요 " _x000a_가 확인되면, _x000a_ex : 전화 연결이 왜 이렇게 힘들어요 _x000a_ex : 상담사 연결이 너무 안돼요_x000a_첫 인사 후, 고객이 안돼요 힘들어요 란 문장이 포함된 발화를 했을 때, </t>
  </si>
  <si>
    <t xml:space="preserve">고객의 불편에 대한 적절한 공감
** 참조 사항으로 발화되어야 함 </t>
  </si>
  <si>
    <t xml:space="preserve">참조 내 인사 내용처럼 발화 </t>
  </si>
  <si>
    <t xml:space="preserve">고객의 인사에 대한 화답이 정상적으로 발화됨 </t>
  </si>
  <si>
    <t xml:space="preserve">상황에 맞는 적절한 공감표현을 위한 호응이 이루어지는가
●리스크 완충 ( 디에스컬레이션 ) 
불만 장애 콜에서 공감 한 줄이 감정 급등을 줄여, 실질적 문제 해결에 도움이 되는 사안 
●공감의 최소 요건을 루브릭으로 표준화하여 채널 전반의 톤을 정렬 </t>
  </si>
  <si>
    <t>공감</t>
  </si>
  <si>
    <t xml:space="preserve">긍 / 부정 상황에 대한 충분한 공감_x000a_ </t>
  </si>
  <si>
    <t xml:space="preserve">부정적 상황에 대한 적극적 공감
긍정적 상황에 대한 적극적 공감
</t>
  </si>
  <si>
    <t xml:space="preserve">공감 내용에 대한 발화 내용 발화 없음 
 즉, 고객의 상황 설명에 대한 공감 없음 ( 무시 ) </t>
  </si>
  <si>
    <t xml:space="preserve">공감 표현 혹은 미미한 공감 발화가 
고객의 감정 표현 이후 발화되지 않음 
STT로 확인 가능 </t>
  </si>
  <si>
    <t>위 상황이 상담 전체 중 한 번 이상 발생되어도 점수는 동일</t>
  </si>
  <si>
    <t>발화의 미미 ( 미미한 발화의 예시를 참조 ) 
 즉, 상황에 맞지 않는 대응 표현</t>
  </si>
  <si>
    <t xml:space="preserve">네네 / 예 / 네 처럼, 단답형 호응으로 시작되는 문장이 발화될 경우 차감 </t>
  </si>
  <si>
    <t xml:space="preserve">자동 LLM </t>
  </si>
  <si>
    <t xml:space="preserve">트리거별 정상적인 공감 발화가 이루어짐 
긍 / 부정 상황이 발생되지 않았고, 
적절한 호응어들이 구사됨 </t>
  </si>
  <si>
    <t xml:space="preserve">공감 표현 ( *참조 ) 중 필수 단어가 표시됨 
호응어 ( * 참조 ) 의 예시 </t>
  </si>
  <si>
    <t>고객 배려가 있는 상담이 진행되도록  한다</t>
  </si>
  <si>
    <t>동시 발화 
발생 내용  : 
상담원이 발화하고 있는 중 
고객이 말을 끼어듦</t>
  </si>
  <si>
    <t xml:space="preserve">고객과 말겹침이 발생할 경우, 상담원은 사과와 함께 고객에게 양해를 구한다 
경우 1) 
경우 2) 
말겹침 발생 &gt; 멈춤 &gt; 고객 발화 
말겹침 발생 &gt; 멈춤 &gt; 상담원 발화 
말겹침 발생 &gt; 상담원 발화 시작 
경우 3) 감점 없음 
말겹침 발생 &gt; 멈춤 &gt; 상담원 발화 검출 텍스트 "죄송"  &gt; 무음 2s &gt; 상담원 발화 
말겹침 발생 &gt; 멈춤 &gt; 상담원 발화 검출 텍스트 " 죄송 " &gt; 고객 발화 시작 
</t>
  </si>
  <si>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>감점 발생 요인</t>
    </r>
    <r>
      <rPr>
        <rFont val="Arial"/>
        <color theme="1"/>
        <sz val="9.0"/>
      </rPr>
      <t xml:space="preserve"> 
말겹침 발생 &gt; 상담원 발화 시작 
</t>
    </r>
  </si>
  <si>
    <t xml:space="preserve">측정 조건 1) 0.15s =&lt; 말겹침 발생 
and
측정 조건 2) 말겹침 이후 상담원 즉시 발화 " 죄송 " 텍스트 검출 X
and
측정 조건 3) 상담원 발화가 지속됨 </t>
  </si>
  <si>
    <r>
      <rPr>
        <rFont val="Arial"/>
        <b/>
        <color theme="1"/>
        <sz val="9.0"/>
      </rPr>
      <t xml:space="preserve">감점 발생 요인 
</t>
    </r>
    <r>
      <rPr>
        <rFont val="Arial"/>
        <color theme="1"/>
        <sz val="9.0"/>
      </rPr>
      <t xml:space="preserve">말겹침 발생 &gt; 멈춤 &gt; 고객 발화 
말겹침 발생 &gt; 멈춤 &gt; 상담원 발화 </t>
    </r>
  </si>
  <si>
    <t xml:space="preserve">측정 조건 1) 0.15s =&lt; 말겹침 발생 
and
측정 조건 2) 말겹침 이후 상담원 즉시 발화 : " 죄송 " 텍스트 검출 X </t>
  </si>
  <si>
    <r>
      <rPr>
        <rFont val="Arial"/>
        <b/>
        <color theme="1"/>
        <sz val="9.0"/>
      </rPr>
      <t xml:space="preserve">감점 없음 </t>
    </r>
    <r>
      <rPr>
        <rFont val="Arial"/>
        <color theme="1"/>
        <sz val="9.0"/>
      </rPr>
      <t xml:space="preserve">
1. 말겹침 발생 0.15s &gt; 멈춤 &gt; 상담원 발화 검출 텍스트 "죄송" &gt; 무음 2s &gt; 상담원 발화 
2. 말겹침 발생 0.15s &gt; 멈춤 &gt; 상담원 발화 검출 텍스트 " 죄송 " &gt; 고객 발화 시작 </t>
    </r>
  </si>
  <si>
    <t xml:space="preserve">측정 조건 1) 0.15s =&lt; 말겹침 발생 
and
측정 조건 2) 말겹침 이후 상담원 즉시 발화 중 : " 죄송 " 검출 O 
and
측정 조건 3) 상담원 발화 이후 무응답 2s =&lt;
*상담원의 "죄송" 텍스트 발화 이후 고객 멘트가 발화되는 경우는 감점 없음의 대상이 됨 </t>
  </si>
  <si>
    <t xml:space="preserve">경우 2개 중 1개만 확인되어야 함 </t>
  </si>
  <si>
    <t xml:space="preserve">무응답과 같은 기본 대화 예절에 맞지 않은 상담은 이루어지지 않게 한다 </t>
  </si>
  <si>
    <t>양해 없는 무응답</t>
  </si>
  <si>
    <t>무응답 : 
[사전 양해 안내 멘트]
&gt; 잠시만 기다려주시겠습니까 ?  
[사후 양해 안내 멘트]
&gt; 기다려 주셔서 감사합니다. 
&gt; 오래 기다리셨습니다. 
&gt; 양해해 주셔서 감사합니다. 
고객의 대기 시간은 15s 가 넘지 않는다.</t>
  </si>
  <si>
    <t xml:space="preserve">감점 발생 요인 _x000a_멘트 없이 무응답 시간 15s 이상 발생 &gt; 고객의 상담원 발화 촉구 요청 멘트 발생 _x000a__x000a_* 발화 촉구 요청 멘트 참조 </t>
  </si>
  <si>
    <t xml:space="preserve">
측정 조건 1) 15s =&lt; 고객 대기 + 고객의 상담원 발화 촉구 발생 
and
측정 조건 2) 상담원의 사전 / 사후 양해 멘트 발생 없음 
- 사전 : " 잠시 " &amp; " 기다려 " 발생 없음 
- 중간 : " 양해 " &amp; " 부탁 " 발생 없음 
- 사후 : " 기다려 " &amp; " 감사" 발생 없음</t>
  </si>
  <si>
    <t xml:space="preserve">전체 상담 중 1회 측정될 경우 감점 진행 </t>
  </si>
  <si>
    <r>
      <rPr>
        <rFont val="Arial"/>
        <b/>
        <color theme="1"/>
        <sz val="9.0"/>
      </rPr>
      <t xml:space="preserve">감점 발생 요인 </t>
    </r>
    <r>
      <rPr>
        <rFont val="Arial"/>
        <color theme="1"/>
        <sz val="9.0"/>
      </rPr>
      <t xml:space="preserve">
멘트 없이 무응답 시간 15s 이상 발생 &gt; 고객의 상담원 발화 촉구 요청 멘트 발생 없음 </t>
    </r>
  </si>
  <si>
    <t xml:space="preserve">측정 조건 1) 15s =&lt; 고객 대기 + 고객의 상담원 발화 촉구 없음 
and
측정 조건 2) 상담원의 사전 / 중간 / 사후 양해 멘트 중 0개 - 1개 확인 ( 2-3개 누락 시 )  
- 사전 : " 잠시 " &amp; " 기다려 " 
- 중간 : " 양해 " &amp; " 부탁 " 
- 사후 : " 기다려 " &amp; " 감사 " </t>
  </si>
  <si>
    <r>
      <rPr>
        <rFont val="Arial"/>
        <b/>
        <color theme="1"/>
        <sz val="9.0"/>
      </rPr>
      <t xml:space="preserve">감점 없음 </t>
    </r>
    <r>
      <rPr>
        <rFont val="Arial"/>
        <color theme="1"/>
        <sz val="9.0"/>
      </rPr>
      <t xml:space="preserve">
사전 양해 멘트 &gt; 15s 미만 무응답 &gt; 사후 양해 멘트 검출 
사전 양해 멘트 &gt; 15s 무응답 &gt; 중간 양해 멘트 &gt; 무응답 구간 &gt; 사후 양해 멘트 검출 &gt; 상담원 발화 시작 
* 최초 무응답 시간 검출 이후 중간 양해 멘트 발화가 확인되면, 그 이후 무응답 구간은 따로 측정하지 않음 </t>
    </r>
  </si>
  <si>
    <t>측정 조건 1) 15s &lt; 고객 대기 
and
측정 조건 2) 상담원의 사전 / 중간 / 사후 양해 멘트 3개 전부 확인됨 
- 사전 : " 잠시 " &amp; " 기다려 " 검출 
- 중간 : " 양해 " &amp; " 부탁 " 검출 
- 사후 : " 기다려 " &amp; " 감사 " 검출</t>
  </si>
  <si>
    <t xml:space="preserve">해당 사항은 발화하지 않음이 기본 조건으로 준수 관련 점수의 가감이 없음 </t>
  </si>
  <si>
    <t xml:space="preserve">욕설, 금지어 표현 일체 </t>
  </si>
  <si>
    <t>발화되는 즉시 전항목 0점 처리로 반영</t>
  </si>
  <si>
    <t xml:space="preserve">욕설로 판단될 수 있는 단어의 발화 </t>
  </si>
  <si>
    <t>진행되는 즉시 전항목 0점 처리로 반영</t>
  </si>
  <si>
    <t>한숨</t>
  </si>
  <si>
    <t>수동</t>
  </si>
  <si>
    <t xml:space="preserve">전문적 상담 태도를 준수하여 고객의 불편 해결에 도움되는 상담을 진행한다 </t>
  </si>
  <si>
    <t>상담원의 의도적인 말겹침</t>
  </si>
  <si>
    <t xml:space="preserve">고객이 발화하고 있는 중에, 상담원이 의도적으로 개입되어 상담원 주도의 발화로 내용 변이 </t>
  </si>
  <si>
    <t xml:space="preserve">STT 상 고객 발화가 중간에 중단됨 ( 문장이 맺어지지 않고 ) 
상담원이 즉시 이어 발화한 이후 5초간 고객 발화 없음 </t>
  </si>
  <si>
    <t>상담 내에서 위 사안이 1회 이상 확인되어도 점수는 동일</t>
  </si>
  <si>
    <t xml:space="preserve">고객 발화 청취에서 상담원은 고객의 발화를 중간에 중단하지 아니하고 상담은 끝까지 정상적으로 진행됨 </t>
  </si>
  <si>
    <t xml:space="preserve">고객의 발화 중간에 상담원의 말끊음 없음 
( 기준은 고객 발화중간 ) </t>
  </si>
  <si>
    <t xml:space="preserve">무시하거나 무관심한 발화를 하지 않는다 </t>
  </si>
  <si>
    <t xml:space="preserve"> 상담원의 고객을 향한 무시 / 무관심 </t>
  </si>
  <si>
    <t xml:space="preserve">참조내 내용으로 발화되는 경우_상담원 발화에서만 확인함 </t>
  </si>
  <si>
    <t xml:space="preserve">무시 무관심이 발생하지 않음 
감점 사항이 없음 </t>
  </si>
  <si>
    <t>상담어미</t>
  </si>
  <si>
    <t>전문적인 상담 어미를 이용</t>
  </si>
  <si>
    <t xml:space="preserve">다.까.요 등으로 끝나지 않는 상담원의 발화 </t>
  </si>
  <si>
    <t xml:space="preserve">고객의 말끊음으로 인하여 상담원의 말맺음이 없을 경우엔 해당하지 않음 </t>
  </si>
  <si>
    <t>상담 전체 시간 중 3회 이상 발화 시 점수 동일</t>
  </si>
  <si>
    <t>다.까.요 등으로 상담이 완료</t>
  </si>
  <si>
    <t>전문적인 상담 화법</t>
  </si>
  <si>
    <r>
      <rPr>
        <rFont val="Arial"/>
        <b/>
        <color theme="1"/>
        <sz val="9.0"/>
      </rPr>
      <t xml:space="preserve">감점 발생 요인 
</t>
    </r>
    <r>
      <rPr>
        <rFont val="Arial"/>
        <color theme="1"/>
        <sz val="9.0"/>
      </rPr>
      <t xml:space="preserve">참조 내 비언어로 구분된 항목이 확인되며 
비언어 카테고리에 있는 단어들이 5회 이상 확인되는 경우 </t>
    </r>
  </si>
  <si>
    <t xml:space="preserve">참조 내 단어 확인_측정 조건 1) 비언어 확인 __and__측정 조건 2) 5회 이상 확인되는 경우 점수 차감 발생 </t>
  </si>
  <si>
    <t xml:space="preserve">상담 전체 시간 중 5회 이상 텍스트 검출 시, 점수 차감
( 5회 미만 확인되는 경우, 차감 없음 ) </t>
  </si>
  <si>
    <r>
      <rPr>
        <rFont val="Arial"/>
        <b/>
        <color theme="1"/>
        <sz val="9.0"/>
      </rPr>
      <t xml:space="preserve">감점 발생 요인 </t>
    </r>
    <r>
      <rPr>
        <rFont val="Arial"/>
        <color theme="1"/>
        <sz val="9.0"/>
      </rPr>
      <t xml:space="preserve">
비 전문적인 호응태도 발생 </t>
    </r>
  </si>
  <si>
    <t xml:space="preserve">네네네네 
예예예예
네네네 
예예예 
두 가지 경우를 비언어적 호응 태도로 한정 
측정 조건 1) 비전문적 호응 태도 
and 
측정 조건 2) 3회 이상 확인되는 경우 점수 차감 발생 </t>
  </si>
  <si>
    <t xml:space="preserve">상담 전체 시간 중 3회 이상 발생 시, 점수 차감 
( 3회 미만 확인되는 경우, 차감 없음 ) </t>
  </si>
  <si>
    <t xml:space="preserve">감점 없음 </t>
  </si>
  <si>
    <t xml:space="preserve">비언어 카테고리에 있는 단어들 5회 미만 or 발생 없음 
and
비전문적 호응태도로 구분되는 단어들 3회 미만 or 발생 없음 </t>
  </si>
  <si>
    <t>회피</t>
  </si>
  <si>
    <t>회피 
명확한 답변을 피하거나 회피하는 표헌</t>
  </si>
  <si>
    <t xml:space="preserve">
'제가 알기론'
'불편하셨다면, 죄송합니다.' 
'만족하지 못하셨다면, 죄송합니다.'
추측성 표현의 반복 
' ~ 일 텐데요. ' 
' ~ 일 겁니다. ' 
' 아마 ' </t>
  </si>
  <si>
    <t xml:space="preserve">상담 내에서 위 사인이 1회 이상 확인되어도 점수는 동일 </t>
  </si>
  <si>
    <t xml:space="preserve">적극적 상담 태도의 일관 </t>
  </si>
  <si>
    <t>재질의</t>
  </si>
  <si>
    <t xml:space="preserve">고객이 발화한 사실에 대해 재질의 </t>
  </si>
  <si>
    <r>
      <rPr>
        <rFont val="Arial"/>
        <b/>
        <color theme="1"/>
        <sz val="9.0"/>
      </rPr>
      <t xml:space="preserve">고객 이름 
고객 연락처 
인입 사유 
</t>
    </r>
    <r>
      <rPr>
        <rFont val="Arial"/>
        <color theme="1"/>
        <sz val="9.0"/>
      </rPr>
      <t xml:space="preserve">
에 대해 고객 발화 이후 
상담원 재 질의로 고객은 다시 한 번 언급 </t>
    </r>
  </si>
  <si>
    <t xml:space="preserve"> 3초 이상 응답이 지연되거나, 상담원 측의 준비 부족·침묵으로 고객이 불필요하게 대기하는 상황 발생.</t>
  </si>
  <si>
    <t xml:space="preserve">고객 발화 이후 3s 이내에 상담원의 호응 및 답변이 이루어져야 하나
이루어지지 않음 
** 비언어는 발화에서 제외됨 
한 턴이 시작될 때, 상담원의 발화는 고객 발화 이후 1초 이내에 시작되어야 함 </t>
  </si>
  <si>
    <t>고객 발화 후 3초 이내 지연 응답이 발생.</t>
  </si>
  <si>
    <t>고객 발화 이후 1초 이내 즉각 답변이 지속적으로 이루어지는 경우.</t>
  </si>
  <si>
    <t>어조</t>
  </si>
  <si>
    <t>친절하고 상냥한 어조를 구사한다</t>
  </si>
  <si>
    <t xml:space="preserve">명령조의 어미는 피한다 
톤과 속도가 일정하고 안정감을 준다 
고객에게 안내하거나 고객이 직접 진행해야 하는 사항들은 청유형을 이용한다 </t>
  </si>
  <si>
    <t>수동 평가</t>
  </si>
  <si>
    <t xml:space="preserve">상담 내에서 3회 이상의 불편한 어조가 구사될 경우, 어조 부문에서 차감된다 </t>
  </si>
  <si>
    <t xml:space="preserve">평가 목적 : </t>
  </si>
  <si>
    <t xml:space="preserve">개인정보 처리 방침에 대해 부족함 없이 이행되었으며, 고객의 개인 정보 처리 내용에 안정성을 기함 ( 이용약관 10조 "회원정보 수집과 보호" ) </t>
  </si>
  <si>
    <t>개인 정보 확인</t>
  </si>
  <si>
    <r>
      <rPr>
        <rFont val="Arial"/>
        <color theme="1"/>
        <sz val="9.0"/>
      </rPr>
      <t xml:space="preserve">
[ </t>
    </r>
    <r>
      <rPr>
        <rFont val="맑은 고딕"/>
        <color theme="1"/>
        <sz val="9.0"/>
      </rPr>
      <t>필수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확인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항목</t>
    </r>
    <r>
      <rPr>
        <rFont val="Arial"/>
        <color theme="1"/>
        <sz val="9.0"/>
      </rPr>
      <t xml:space="preserve"> ] 
</t>
    </r>
    <r>
      <rPr>
        <rFont val="맑은 고딕"/>
        <color theme="1"/>
        <sz val="9.0"/>
      </rPr>
      <t>구매자명
연락처</t>
    </r>
  </si>
  <si>
    <t>경우 1) 필수 확인 항목 중 누락 발생 
"구매자명(수령자명)"
"구매자(수령자)연락처"
"본인여부"</t>
  </si>
  <si>
    <t xml:space="preserve">STT로 확인 
0~2개 확인될 경우 </t>
  </si>
  <si>
    <t xml:space="preserve">전체 상담 중 확인이 발생하기만 하면됨 
시점과 고객 응답과는 관계 없이 상담원 발화로만 측정 </t>
  </si>
  <si>
    <t xml:space="preserve">필수 확인 항목 누락 없이 확인 </t>
  </si>
  <si>
    <t xml:space="preserve">STT로 확인 
3개 전체 확인 필요 </t>
  </si>
  <si>
    <t xml:space="preserve">불필요한 경우의 개인 정보 확인 </t>
  </si>
  <si>
    <t xml:space="preserve">경우 1) 
FAQ 내의 상품 문의로 구분된 고객 질의 시에, 
개인 정보 확인 진행됨 &gt; 불필요한 개인 정보 확인 </t>
  </si>
  <si>
    <t xml:space="preserve">본 사항이 발생했을 경우, 과도한 개인 정보 확인으로 전체 Fail 로 반영됩니다 </t>
  </si>
  <si>
    <t xml:space="preserve">문제의 해결을 통한 고객 만족의 성립과 정책의 이행 ( 약관의 이행 ' NOL 인터파크 이용정책 ' ) </t>
  </si>
  <si>
    <t xml:space="preserve">업무 매뉴얼대로 상담이 진행되었는가 
FAQ 대로 상담이 진행되었는가 </t>
  </si>
  <si>
    <t xml:space="preserve">오안내를 진행 후 상담이 종료됨 
( 재상담의 시도가 없음 ) 
</t>
  </si>
  <si>
    <t>오안내 진행된 이후 상담 종료</t>
  </si>
  <si>
    <t xml:space="preserve">본 사항이 발생했을 경우, 정확도 전체 항목에서 Fail로 반영됩니다 ( 정확도 부분 0점 ) </t>
  </si>
  <si>
    <t xml:space="preserve">FAQ( 업무 매뉴얼, 공지 사항 등)와 다른 내용으로 고객 안내가 진행됨 
다만 상담 중 상담원이 수정 안내 진행 
</t>
  </si>
  <si>
    <t xml:space="preserve">오안내 진행 후 상담원의 내용 수정이 상담 시간 내 이루어짐 </t>
  </si>
  <si>
    <t>정확한 상담이 진행됨</t>
  </si>
  <si>
    <t>고객이 문의 내용 중 트리거가 
상담원 발화에 포함되어야 함 
$취소$ 문의에 대한 발화가 시작되면, 
&gt; 상담원 안내 내용 중 $취소$ 안내가 있어야 함 
$교환$ 문의에 대한 발화가 시작되면
&gt; $교환$ 안내가 있어야 함
$반품$ 문의에 대한 발화가 시작되면, 
&gt; $반품$ 안내가 있어야 함</t>
  </si>
  <si>
    <t xml:space="preserve">트리거가 포함된 문의가 발화되면, 
트리거가 포함된 답변이 발화되어야 함 </t>
  </si>
  <si>
    <t xml:space="preserve">고객 문의에 대한 text 발화 진행되었으나 미흡 
ex ) 반품 대기 상태라서요 그냥 교환으로 변경할 수 있을까요 ?  
ㄴ 교환 원하신다고 하셨습니다. 확인 하겠습니다. 
이후 반품 관련 안내 없음 </t>
  </si>
  <si>
    <t xml:space="preserve">문의 사항에 대한 정확한 안내가 답변으로 제공됨 </t>
  </si>
  <si>
    <t xml:space="preserve">고객 ( 파트너 )은 상담원의 설명을 쉽고 정확하게 이해할 수 있었는가 </t>
  </si>
  <si>
    <t xml:space="preserve">고객의 재질의 발생 </t>
  </si>
  <si>
    <t xml:space="preserve">쉬운 설명 참조 </t>
  </si>
  <si>
    <t>상담 내 2회 이상 재질의 예시 내용 발생 시, 점수는 동일</t>
  </si>
  <si>
    <t xml:space="preserve">고개(파트너)에게 내부 용어 발설을 하지 않는다 </t>
  </si>
  <si>
    <t xml:space="preserve">내부 용어 참조 </t>
  </si>
  <si>
    <t>내부 용어의 사용이 3회 이상 확인될 경우에도 점수는 동일</t>
  </si>
  <si>
    <t>고객의 재질의 발생 없음 
상담원의 쉬운 설명</t>
  </si>
  <si>
    <t>규정만 강조됨 
"규정상 다른 도움 드리기 어렵다." 
라는 문장이 상담 내에서 3회 이상 반복</t>
  </si>
  <si>
    <t xml:space="preserve">고객 문의에 대한 옳은 답변이 진행되었으나, 
고객 셀프 서비스가 강조됨 
"규정 외", "예외적" 등의 text가 발화 내 확인되는지 여부 </t>
  </si>
  <si>
    <t xml:space="preserve">고객의 요청 사항 참조 </t>
  </si>
  <si>
    <t>고객의 요청을 기반하여 추가적인 도움을 진행하고자 노력
고객의 요청이 발생하지 않았다면 차감 없으며 
상담원은 고객 요청에 대한 적절한 응대를 진행함</t>
  </si>
  <si>
    <t xml:space="preserve">적극적 상담 진행 </t>
  </si>
  <si>
    <t>참조 1</t>
  </si>
  <si>
    <t>인사 화답</t>
  </si>
  <si>
    <t>네&amp;감사</t>
  </si>
  <si>
    <t>네&amp;반갑</t>
  </si>
  <si>
    <t>네&amp;안녕</t>
  </si>
  <si>
    <t>감사</t>
  </si>
  <si>
    <t>반갑</t>
  </si>
  <si>
    <t>안녕</t>
  </si>
  <si>
    <t>불편 화답</t>
  </si>
  <si>
    <t>불편</t>
  </si>
  <si>
    <t>죄송</t>
  </si>
  <si>
    <t>참조 2</t>
  </si>
  <si>
    <t>미미한 발화</t>
  </si>
  <si>
    <t>예</t>
  </si>
  <si>
    <t>네</t>
  </si>
  <si>
    <t>네 알겠습니다.</t>
  </si>
  <si>
    <t>참조 3</t>
  </si>
  <si>
    <t>긍부정 상황의 구분</t>
  </si>
  <si>
    <t>공감 발화 _ 부정</t>
  </si>
  <si>
    <t>공감 발화 _ 긍정</t>
  </si>
  <si>
    <t>호응어</t>
  </si>
  <si>
    <t>불편 + 사과</t>
  </si>
  <si>
    <t>말씀에 감사</t>
  </si>
  <si>
    <t>네 / 예 / 음 / 아, 네</t>
  </si>
  <si>
    <t>죄송합니다</t>
  </si>
  <si>
    <t>관심</t>
  </si>
  <si>
    <t>네, 들리고 있습니다</t>
  </si>
  <si>
    <t>겪으신</t>
  </si>
  <si>
    <t>감사합니다</t>
  </si>
  <si>
    <t>네, 계속 말씀 주세요</t>
  </si>
  <si>
    <t>전달 주신</t>
  </si>
  <si>
    <t>이어서 말씀해 주세요</t>
  </si>
  <si>
    <t>빠른 안내</t>
  </si>
  <si>
    <t>편하게 말씀하셔도 됩니다</t>
  </si>
  <si>
    <t>참조 4</t>
  </si>
  <si>
    <t>상담원 발화 촉구</t>
  </si>
  <si>
    <t xml:space="preserve">말씀하세요.
</t>
  </si>
  <si>
    <t>어떻게 하면 되죠?</t>
  </si>
  <si>
    <t>여보세요?</t>
  </si>
  <si>
    <t>여보세요. 여보세요.</t>
  </si>
  <si>
    <t>계세요 ?</t>
  </si>
  <si>
    <t>저기요</t>
  </si>
  <si>
    <t>듣고 계세요 ?</t>
  </si>
  <si>
    <t>지금 확인중이세요 ?</t>
  </si>
  <si>
    <t>뭐하는거야 ?</t>
  </si>
  <si>
    <t>책임자 바꾸세요.</t>
  </si>
  <si>
    <t>지금 어떻게 하실거에요 ?</t>
  </si>
  <si>
    <t>저기요. 상담 안하세요 ?</t>
  </si>
  <si>
    <t>참조 5</t>
  </si>
  <si>
    <t>발화 금칙어 사전 (ex 욕)</t>
  </si>
  <si>
    <t>카테고리</t>
  </si>
  <si>
    <t>단어 예시</t>
  </si>
  <si>
    <t>비고</t>
  </si>
  <si>
    <t>기본 욕설</t>
  </si>
  <si>
    <t>씨발, 씨팔, 씨바, 씨뻘, 시방새</t>
  </si>
  <si>
    <t>직설적인 한국어 비속어</t>
  </si>
  <si>
    <t>좆, 좆같, 좆나, 존나, 존맛, 존버</t>
  </si>
  <si>
    <t>노골적인 성기/강조형 욕설</t>
  </si>
  <si>
    <t>개새끼, 개같은, 개지랄, 개X, 개빡</t>
  </si>
  <si>
    <t>동물 비유형 욕설</t>
  </si>
  <si>
    <t>병신, 븅신, 멍청이, 미친새끼</t>
  </si>
  <si>
    <t>지능/정신 비하 욕설</t>
  </si>
  <si>
    <t>꺼져, 닥쳐, 아가리, 입 닫아</t>
  </si>
  <si>
    <t>퇴출·침묵 강요 표현</t>
  </si>
  <si>
    <t>성적/신체 비하</t>
  </si>
  <si>
    <t>보지, 씹, 자지, 좆, 썅</t>
  </si>
  <si>
    <t>노골적 성기 지칭</t>
  </si>
  <si>
    <t>염병, 빡대가리</t>
  </si>
  <si>
    <t>질병/신체 비하 표현</t>
  </si>
  <si>
    <t>차별/비하</t>
  </si>
  <si>
    <t>틀딱, 흑형, 메갈X</t>
  </si>
  <si>
    <t>세대/인종/성차별적 발언</t>
  </si>
  <si>
    <t>돼지, 빡빡이, 꼬라지</t>
  </si>
  <si>
    <t>외모/체형 비하 표현</t>
  </si>
  <si>
    <t>완곡/은어 욕설</t>
  </si>
  <si>
    <t>죽어라, 뒤져라</t>
  </si>
  <si>
    <t>직접적인 위협·저주 표현</t>
  </si>
  <si>
    <t>미친놈, 또라이, 찐따</t>
  </si>
  <si>
    <t>은어형 비하 욕설</t>
  </si>
  <si>
    <t>그따위, 그 꼴, 지랄</t>
  </si>
  <si>
    <t>완곡하지만 모욕적 표현</t>
  </si>
  <si>
    <t>ㅅㅂ, ㅈ같, ㅂㅅ</t>
  </si>
  <si>
    <t>축약형/자음형 변형 욕설</t>
  </si>
  <si>
    <t>참조 6</t>
  </si>
  <si>
    <t>무시 무관심에 대한 예시</t>
  </si>
  <si>
    <t>무시</t>
  </si>
  <si>
    <t>무관심</t>
  </si>
  <si>
    <t>지금 그걸 ~</t>
  </si>
  <si>
    <t>네네네</t>
  </si>
  <si>
    <t>그래서 지금 뭘 해달란 말씀이세요</t>
  </si>
  <si>
    <t>예약자 성함 어떻게 되세요</t>
  </si>
  <si>
    <t>원하시는 게 어떻게 되세요</t>
  </si>
  <si>
    <t>말씀을 정확하게 하셔야 ~</t>
  </si>
  <si>
    <t>지금 연락을 주시면 ~</t>
  </si>
  <si>
    <t>됐고요.</t>
  </si>
  <si>
    <t>지금 당장 하세요.</t>
  </si>
  <si>
    <t>그래서요 ?</t>
  </si>
  <si>
    <t>그래서 어떻게 결정하셨나요 ?</t>
  </si>
  <si>
    <t>그래서 ~</t>
  </si>
  <si>
    <t>그건 왜 필요하세요 ?</t>
  </si>
  <si>
    <t>아까&amp;말했잖아요</t>
  </si>
  <si>
    <t>그게&amp;아니구요</t>
  </si>
  <si>
    <t>제&amp;말&amp;좀&amp;들어보세요</t>
  </si>
  <si>
    <t>이해가&amp;안&amp;되세요</t>
  </si>
  <si>
    <t>제가&amp;뭘&amp;더&amp;말씀드려야&amp;하나요</t>
  </si>
  <si>
    <t>저는&amp;잘&amp;모르고요&amp;영업점&amp;가서&amp;확인하세요</t>
  </si>
  <si>
    <t>이게&amp;맞아요</t>
  </si>
  <si>
    <t>뭐라고요</t>
  </si>
  <si>
    <t>무슨&amp;말씀인지&amp;모르겠어요</t>
  </si>
  <si>
    <t>말씀&amp;드렸잖아요</t>
  </si>
  <si>
    <t>아까&amp;설명&amp;드렸잖아요</t>
  </si>
  <si>
    <t>그게&amp;아니라</t>
  </si>
  <si>
    <t>하시라구요</t>
  </si>
  <si>
    <t>다시&amp;말씀드려요</t>
  </si>
  <si>
    <t>아니&amp;거기&amp;아니구요</t>
  </si>
  <si>
    <t>안&amp;됩니다</t>
  </si>
  <si>
    <t>아니라고&amp;재차&amp;말씀&amp;드렸잖아요</t>
  </si>
  <si>
    <t>일단&amp;해보고&amp;연락&amp;주세요</t>
  </si>
  <si>
    <t>아니죠</t>
  </si>
  <si>
    <t>그니까</t>
  </si>
  <si>
    <t>지금&amp;계속&amp;똑같은&amp;설명&amp;드리는데</t>
  </si>
  <si>
    <t>계속&amp;하세요</t>
  </si>
  <si>
    <t>안&amp;된다구요</t>
  </si>
  <si>
    <t>하지&amp;마시구요</t>
  </si>
  <si>
    <t>여보세요</t>
  </si>
  <si>
    <t>아니라니까요</t>
  </si>
  <si>
    <t>거기&amp;말구요</t>
  </si>
  <si>
    <t>그게&amp;무슨&amp;말씀이세요</t>
  </si>
  <si>
    <t>하셔야&amp;한다구요</t>
  </si>
  <si>
    <t>눌러야죠</t>
  </si>
  <si>
    <t>뭐가요</t>
  </si>
  <si>
    <t>참조 7</t>
  </si>
  <si>
    <t>비언어 발화</t>
  </si>
  <si>
    <t>어, 음, 아, 에, 어어, 음음, 흠, 흐음, 으음, 어우</t>
  </si>
  <si>
    <t>헉, 헐, 와/우와, 어머, 세상에, 아이고/에구</t>
  </si>
  <si>
    <t>아휴/어휴, 에이, 음…, 글쎄…</t>
  </si>
  <si>
    <t>참조 8</t>
  </si>
  <si>
    <t>네 ? 무슨 말씀이신지 제가 이해를 못했는데요</t>
  </si>
  <si>
    <t xml:space="preserve">네 ? / 이해 / 못 / 안  </t>
  </si>
  <si>
    <t xml:space="preserve">너무 어렵게 설명하시는데 </t>
  </si>
  <si>
    <t>어렵게 / 설명</t>
  </si>
  <si>
    <t xml:space="preserve">그래서 어쩌란거죠 ? </t>
  </si>
  <si>
    <t xml:space="preserve">어쩌 / ? / 어떡 / ? </t>
  </si>
  <si>
    <t xml:space="preserve">말 좀 쉽게 해주세요 </t>
  </si>
  <si>
    <t xml:space="preserve">말 / 쉽게 </t>
  </si>
  <si>
    <t>참조 9</t>
  </si>
  <si>
    <t>쉬운 상담</t>
  </si>
  <si>
    <t>“무슨 말인지(뜻인지) 모르겠습니다.”</t>
  </si>
  <si>
    <t>“다시 한 번 처음부터 설명해 주세요.”</t>
  </si>
  <si>
    <t>“그럼 제가 지금 뭘 하면 되죠?”</t>
  </si>
  <si>
    <t>“그 버튼/메뉴가 어디에 있어요? (안 보여요)”</t>
  </si>
  <si>
    <t>“말씀하신 게 서로 다른 것 같은데요?”</t>
  </si>
  <si>
    <t>“그냥 문자로 정리해서 보내 주세요.” / “이메일로 주세요.”</t>
  </si>
  <si>
    <t>“다른 분으로 바꿔 주세요 / 책임자 연결해 주세요.”</t>
  </si>
  <si>
    <t>“환불되는 건가요? (혹은 ‘되는 거죠?’ 같은 확답 재요구)”</t>
  </si>
  <si>
    <t>“어디서부터 해야 하는지 모르겠어요.”</t>
  </si>
  <si>
    <t>“그럼 결론이 뭐예요?”</t>
  </si>
  <si>
    <t xml:space="preserve">"그래서 제가 어떻게 하란 거에요 ? " </t>
  </si>
  <si>
    <t>참조 10</t>
  </si>
  <si>
    <t xml:space="preserve">내부용어 </t>
  </si>
  <si>
    <t>파트너</t>
  </si>
  <si>
    <t>어드민</t>
  </si>
  <si>
    <t>가용재고</t>
  </si>
  <si>
    <t xml:space="preserve">회수지시 </t>
  </si>
  <si>
    <t>블랙리스트</t>
  </si>
  <si>
    <t>리스크 플래그</t>
  </si>
  <si>
    <t xml:space="preserve">다중계정탐지 </t>
  </si>
  <si>
    <t>어뷰징</t>
  </si>
  <si>
    <t xml:space="preserve">매입 </t>
  </si>
  <si>
    <t xml:space="preserve">차감 환불 </t>
  </si>
  <si>
    <t xml:space="preserve">클레임 / RMA ( Return Merchandise/Material Authorization ) / 반품 승인 번호 </t>
  </si>
  <si>
    <t>참조 11</t>
  </si>
  <si>
    <t>고객 요청 문장</t>
  </si>
  <si>
    <t>한 번만 도와주심 안돼요 ?</t>
  </si>
  <si>
    <t xml:space="preserve">제발요 </t>
  </si>
  <si>
    <t>한 번만 알아봐주세요.</t>
  </si>
  <si>
    <t>방법이 없을까요</t>
  </si>
  <si>
    <t xml:space="preserve">목적 → 지표 → 루브릭 → 증거 → 판정 규칙
기본적인 평가 항목은, 기존 NOL 평가 지표에 반영된 대로 기재되어 있음 
목적 : 평가의 타당성 합의 
지표 : 준수 내용 
루브릭 : 평가 기준표 
증거 : 평가 기준의 이유 
판정 규칙 : 측정 방안 </t>
  </si>
  <si>
    <t>응대 내용</t>
  </si>
  <si>
    <t xml:space="preserve">개인정보 처리 방침에 대해 부족함 없이 이행되었으며, 고객의 개인 정보 처리 내용에 안정성을 기함 ( 이용약관 21조 "개인정보보호" ) </t>
  </si>
  <si>
    <t>개인정보 처리 방침</t>
  </si>
  <si>
    <t>개인정보 취급 안내 멘트</t>
  </si>
  <si>
    <t xml:space="preserve">정보 확인을 진행하는 경우, 
개인 정보 취급을 진행함을 미리 고객에게 고지 해야 함 
" 고객님의 소중한 개인정보 보호를 위해 몇가지 정보 추가 확인 후 안내 도와드리겠습니다. </t>
  </si>
  <si>
    <t>5점</t>
  </si>
  <si>
    <t>"-5점</t>
  </si>
  <si>
    <t xml:space="preserve">필수 멘트 text 5개 중
개인정보, 보호, 정보, 추가, 확인 
중 누락 발생, 
0~2개 확인 </t>
  </si>
  <si>
    <t xml:space="preserve">필수 멘트 
1.개인정보
2.보호
3.정보
4.추가 
5.확인 
의 텍스트 발화 확인 </t>
  </si>
  <si>
    <t>"-4점</t>
  </si>
  <si>
    <t xml:space="preserve">필수 멘트 text 5개 중
개인정보, 보호, 정보, 추가, 확인 
중 누락 발생, 
3-4개 확인 </t>
  </si>
  <si>
    <t xml:space="preserve">0점 </t>
  </si>
  <si>
    <t>필수 멘트 text 
개인정보, 보호, 정보, 추가, 확인 
중 누락 없음 
5개 전체 확인</t>
  </si>
  <si>
    <t xml:space="preserve">STT로 확인 </t>
  </si>
  <si>
    <t xml:space="preserve"> 
필수 확인 항목 
연락주신 분 성함 
연락처
" 연락주신 분의 성함과 연락처 말씀 부탁드립니다. " </t>
  </si>
  <si>
    <t>경우 1) 필수 확인 항목 중 누락 발생 
"성함"
"연락처"</t>
  </si>
  <si>
    <t xml:space="preserve">STT로 확인 
0개 확인될 경우 </t>
  </si>
  <si>
    <t xml:space="preserve">핅수 확인 항목 누락 없이 확인 </t>
  </si>
  <si>
    <t xml:space="preserve">STT로 확인 
2개 전체 확인 필요 </t>
  </si>
  <si>
    <t>구매자나 수령자가 아니라고 밝혔음에도 개인 정보 확인</t>
  </si>
  <si>
    <t xml:space="preserve">연락처와 </t>
  </si>
  <si>
    <t xml:space="preserve">본 사항이 발생했을 경우, 개인정보 처리 방침 부문에 있어 전체 Fail 로 반영됩니다 </t>
  </si>
  <si>
    <t>"-5점"</t>
  </si>
  <si>
    <t>업무 매뉴얼을 LLM으로 반영 후 판단</t>
  </si>
  <si>
    <t xml:space="preserve">본 사항이 발생했을 경우 횟수와 관계없이 정확도는 0점입니다. </t>
  </si>
  <si>
    <t>"-3점"</t>
  </si>
  <si>
    <t xml:space="preserve">고객이 문의 내용 중 트리거가 
상담원 발화에 포함되어야 함 
$취소$ 문의에 대한 발화가 시작되면, 
&gt; 상담원 안내 내용 중 $취소$ 안내가 있어야 함 
$주문$ 문의에 대한 발화가 시작되면
&gt; $주문$ 안내가 있어야 함
$환불$ 문의에 대한 발화가 시작되면, 
&gt; $환불$ 안내가 있어야 함
$배송$문의에 대한 발화가 시작되면,
&gt; $배송$ 안내가 있어야 함 </t>
  </si>
  <si>
    <r>
      <rPr>
        <rFont val="KoPub돋움체 Medium"/>
        <color theme="1"/>
        <sz val="11.0"/>
      </rPr>
      <t xml:space="preserve">프롬프트
당신은 상담 QA 채점기다. 아래 규칙으로 “문제 해결(5점)”만 판정하라.
입력:
- CUSTOMER_TURN: 고객의 연속 발화(상담원 답변 오기 전까지)
- AGENT_TURN: 해당 고객 턴 바로 다음 상담원의 연속 발화(시스템/자동멘트 제외)
트리거 집합 S = {취소, 주문, 환불, 배송}
동의어:
- 취소: 취소, 캔슬
- 주문: 주문, 구매, 오더, 주문번호
- 환불: 환불, 환급, 반환, 반품
- 배송: 배송, 발송, 출고, 택배, 송장, 송장번호
[필수 매칭 문구 패턴(정규식)]
- 취소: /(취소)\s*(문의|관련|건|요청)/  또는 /(취소 문의)\s*(이십니까|이신가요|맞으실까요)?/
- 주문: /(주문|구매|오더|주문번호)\s*(문의|관련|건|내용)/  또는 /(주문 문의)\s*(이십니까|이신가요|맞으실까요)?/
- 환불: /(환불|환급|반환|반품)\s*(문의|관련|건)/  또는 /((환불|반품)\s*문의)\s*(이십니까|이신가요|맞으실까요)?/
- 배송: /(배송|발송|출고|택배|송장|송장번호)\s*(문의|관련|건|내용)/  또는 /(배송 문의)\s*(이십니까|이신가요|맞으실까요)?/
[불인정 예시(매칭 실패 처리)]
- “주문 정보 확인 후 안내”, “주문 확인하겠습니다”, “배송 조회 도와드리겠습니다”,
  “결제 변경은 취소 후 재주문” 등
  → ‘문의/관련/건/내용’ 등과 결합되지 않은 일반 안내문은 인정하지 않는다.
판정 절차:
1) CUSTOMER_TURN에서 트리거 유형들을 추출해 S를 만든다(동의어 포함).
2) AGENT_TURN의 첫 문단(또는 첫 문장)에서 각 트리거별 [필수 매칭 문구] 존재 여부를 검사한다.
   - “트리거 + (문의|관련|건|내용)” 형태 또는 “&lt;트리거&gt; 문의 + 확인/질문형”만 인정
3) 점수:
   - S ⊆ R  → 0점(정상)    # R: AGENT_TURN에서 필수 매칭 문구가 충족된 트리거 집합
   - S ∩ R = </t>
    </r>
    <r>
      <rPr>
        <rFont val="Cambria Math"/>
        <color theme="1"/>
        <sz val="11.0"/>
      </rPr>
      <t>∅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→</t>
    </r>
    <r>
      <rPr>
        <rFont val="Calibri"/>
        <color theme="1"/>
        <sz val="11.0"/>
      </rPr>
      <t xml:space="preserve"> -5</t>
    </r>
    <r>
      <rPr>
        <rFont val="KoPub돋움체 Medium"/>
        <color theme="1"/>
        <sz val="11.0"/>
      </rPr>
      <t>점
   - 그 외(일부만 반영) → -2점</t>
    </r>
  </si>
  <si>
    <t>"-2점"</t>
  </si>
  <si>
    <t xml:space="preserve">고객 문의에 대한 text 발화 진행되었으나 미흡 
ex ) 2개 이상의 혼합 질문이나 1개에 대한 대답만 발화됨 
이미 배송 출고되었지만, 취소하고 싶어요. 
&gt; 출고된 상품에 대해선 취소가 불가합니다. </t>
  </si>
  <si>
    <r>
      <rPr>
        <rFont val="KoPub돋움체 Medium"/>
        <color theme="1"/>
        <sz val="11.0"/>
      </rPr>
      <t xml:space="preserve">[ROLE]
너는 한국어 전화 상담 STT 로그를 채점하는 QA 평가자다.
평가 항목: “쉬운 설명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고객(파트너)이 상담원의 설명을 쉽고 정확히 이해했는가(감점형)”.
[INPUT]
CALL_STT=
&lt;시간순 STT. 화자 표기는 ‘고객: …’, ‘상담원: …’.&gt;
[IGNORE]
- ARS/IVR/녹음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보안 고지, 시스템 멘트, 배경 소음 표기
- 숫자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개인정보 낭독, 주소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코드 철자 등 불가피한 반복
- 고객의 장문 서술은 참고만(점수는 상담원 설명 중심)
[DEFINITIONS]
■ 재질의(clarification due to unclear explanation)
- 상담원 설명(정책/절차/요금/조건 등) 직후 다음 1~2 고객 턴 안에
  “무슨 뜻이죠/다시 설명/정확히/헷갈려요/그럼 ~ 맞나요?” 등
  **이해 곤란 신호**를 동반한 **동일 논점의 재질문**이 발생한 경우.
■ 내부 용어(jargon)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 xml:space="preserve">아래 **내부 용어 목록에 한정**. **설명 없이** 사용하면 감점.
- 표기/띄어쓰기/영문 변형 허용(예: 하이픈/중간점/대문자), 의미 동의어는 **허용하지 않음**(리스트 한정).
- 내부 용어 목록:
  1) 파트너
  2) 어드민 / admin
  3) 가용재고
  4) 회수지시
  5) 블랙리스트
  6) 리스크 플래그
  7) 다중계정탐지
  8) 어뷰징
  9) 매입
  10) 차감 환불 / 차감환불
  11) 클레임 / RMA / 반품 승인
     - RMA 표기: RMA, Return Merchandise Authorization, Return Material Authorization
- 같은 문장 안에 **쉬운 풀이(일상어 동의어/설명)**가 붙으면 미감점.
  예) “어드민(관리자 화면)에서 확인해 보겠습니다.”
■ 예외(오탐 방지)
- 고객이 위 **내부 용어를 먼저 사용**했고 상담원이 같은 의미로 **받아치기만** 한 경우 미감점.
- 고객이 **새 정보/새 옵션**을 탐색하는 후속 질문은 재질의로 보지 않음.
- 상담원이 먼저 **요약+다음 단계**를 제시했고, 고객이 사실 확인(“네 맞죠?”)만 하는 경우 재질의 아님.
[SCORING LOGIC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 xml:space="preserve">감점 우선, 최저값 적용]
- 기본값: **0점(정상)**
- 아래가 **상담 전체에서 1회라도** 확인되면 해당 점수 부여(빈도↑여도 동일):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**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>5</t>
    </r>
    <r>
      <rPr>
        <rFont val="KoPub돋움체 Medium"/>
        <color theme="1"/>
        <sz val="11.0"/>
      </rPr>
      <t xml:space="preserve">점**: 재질의 발생(위 정의 충족)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**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>2</t>
    </r>
    <r>
      <rPr>
        <rFont val="KoPub돋움체 Medium"/>
        <color theme="1"/>
        <sz val="11.0"/>
      </rPr>
      <t>점**: 내부 용어(위 목록 한정)를 **설명 없이** 1회 이상 사용
- 두 트리거가 동시에 있으면 **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>5</t>
    </r>
    <r>
      <rPr>
        <rFont val="KoPub돋움체 Medium"/>
        <color theme="1"/>
        <sz val="11.0"/>
      </rPr>
      <t xml:space="preserve">점**(최저값 우선)
[OUTPUT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STRICT JSON, ONE LINE]
{
  "score": 0 | -2 | -5,
  "counts": { "clarifications": &lt;int&gt;, "jargon_uses": &lt;int&gt; },
  "evidence": {
    "clarification_samples": ["&lt;</t>
    </r>
    <r>
      <rPr>
        <rFont val="KoPub돋움체 Medium"/>
        <color theme="1"/>
        <sz val="11.0"/>
      </rPr>
      <t>재질의로 본 고객 원문 최대 3개&gt;"],
    "jargon_samples": ["&lt;내부 용어로 본 상담원 원문 최대 3개&gt;"]
  },
  "reason": "&lt;왜 이 점수인지 30자 요약&gt;",
  "confidence": 0.0-1.0
}
[DECISION POLICY]
- 내부 용어 판단은 **상기 목록에만** 근거한다(그 외 전문어는 비대상).
- ‘설명 없이’ 기준: 같은 턴 또는 바로 다음 문장에서 **쉬운 동의어/예시/비유**가 없으면 감점.
- 의미 유사성은 **재질의 탐지에만** 적용(내부 용어 탐지는 목록 일치만).
- 출력은 JSON 한 줄만. 추가 해설 금지.</t>
    </r>
  </si>
  <si>
    <t>"-4점"</t>
  </si>
  <si>
    <r>
      <rPr>
        <rFont val="KoPub돋움체 Medium"/>
        <color theme="1"/>
        <sz val="11.0"/>
      </rPr>
      <t xml:space="preserve">[ROLE]
당신은 한국어 전화 상담 STT 로그를 채점하는 QA 평가자입니다.
평가 항목: “적극적 응대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고객의 편의를 위해 적극적인 상담을 진행한다(5점 만점, 감점형)”.
[INPUT]
CALL_STT=
&lt;시간순 STT. 화자 표기는 ‘고객: …’, ‘상담원: …’.&gt;
[IGNORE]
- ARS/IVR/녹음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보안 고지, 시스템 멘트, 배경 소음 표기
- 숫자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개인정보 낭독, 주소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코드 철자 등 불가피한 반복
- 고객 발화는 참고만, 점수는 상담원 발화로 산정
[DEFINITIONS]
■ “적극적 응대(프로액티브)” 신호(의미 유사 허용)
- 고객 요청/의도 **재진술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요약** 후 해결 경로 제시
- **소유 선언**: “제가/저희가 ~하겠습니다”, 담당 전환 시 **브리징**(사유+승낙+추적 약속)
- **대안/옵션** 제시(가능/불가+이유 포함)
- **TAT/다음 단계** 명시(정확한 시간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기한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연락수단)
- 필요 시 **추가 탐색 질문**(예: “혹시 문의 주시는 사유가 어떻게 되실까요?”)
■ “셀프 서비스 강조”(부분 감점 후보, 의미 유사 허용)
- 앱/웹/공지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링크만 보라고 안내하거나, “제휴점/판매처로 직접 문의”만 반복
- 제휴점 연락처 문의에서 **추가 사유 질문 없이** 번호만 제공
(※ 상담원 주도 해결/대안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추적 약속 없이 **고객에게만 떠넘기는** 패턴)
■ “규정만 강조”(중과실 감점 후보, 의미 유사 허용)
- “규정상/정책상/약관상/내부 방침상/원칙상 … (도움 드리기 어렵다/불가)” 류를
  **상담 전체에서 3회 이상** 반복하며 대안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브리징</t>
    </r>
    <r>
      <rPr>
        <rFont val="Calibri"/>
        <color theme="1"/>
        <sz val="11.0"/>
      </rPr>
      <t xml:space="preserve">·TAT </t>
    </r>
    <r>
      <rPr>
        <rFont val="KoPub돋움체 Medium"/>
        <color theme="1"/>
        <sz val="11.0"/>
      </rPr>
      <t xml:space="preserve">없음
[CORRECTNESS CHECK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 xml:space="preserve">정답성 서브체크]
아래 중 1개 이상이면 **옳은 답변(정답성=true)**로 본다. (외부 정책 진위를 LLM이 단정 못 하는 경우, 대화 맥락 시그널로 판단)
- **직접 조회/정책 근거**를 언급하고 **결론(가능/불가/조건부)을 명확히** 제시
- 고객이 **즉시 실행/수락**(“진행했습니다/알겠습니다/네로 확인”) 후 상담 흐름이 자연스럽게 이어짐
- 같은 이슈에서 **모순 없이 일관**된 결론을 유지
[NEGATIVE CUES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감점 트리거(의미 유사 인식)]
- 중과실(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>4): `</t>
    </r>
    <r>
      <rPr>
        <rFont val="KoPub돋움체 Medium"/>
        <color theme="1"/>
        <sz val="11.0"/>
      </rPr>
      <t>규정만_강조_반복` 3회↑
- 경과실(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 xml:space="preserve">2): </t>
    </r>
    <r>
      <rPr>
        <rFont val="KoPub돋움체 Medium"/>
        <color theme="1"/>
        <sz val="11.0"/>
      </rPr>
      <t>아래 중 하나라도 확인되면 적용
  1) `셀프서비스_강조`: 공지/앱/웹/판매처로 **전가**하고 상담원 측 조치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대안</t>
    </r>
    <r>
      <rPr>
        <rFont val="Calibri"/>
        <color theme="1"/>
        <sz val="11.0"/>
      </rPr>
      <t xml:space="preserve">·TAT </t>
    </r>
    <r>
      <rPr>
        <rFont val="KoPub돋움체 Medium"/>
        <color theme="1"/>
        <sz val="11.0"/>
      </rPr>
      <t>없음
  2) `추가질의_누락`: 제휴/연락처 안내 맥락에서 **추가 사유 질문 부재**
  3) `모호한_위임`: “영업담당자에게 전달”만 말하고 **브리징 요소**(사유+승낙+추적+TAT) 미제시
  4) `규정외_예외적_단어`: “규정 외/예외적”만 언급하며 실질 대안</t>
    </r>
    <r>
      <rPr>
        <rFont val="Calibri"/>
        <color theme="1"/>
        <sz val="11.0"/>
      </rPr>
      <t xml:space="preserve">·TAT </t>
    </r>
    <r>
      <rPr>
        <rFont val="KoPub돋움체 Medium"/>
        <color theme="1"/>
        <sz val="11.0"/>
      </rPr>
      <t xml:space="preserve">없음
[특수 탐지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정답+셀프서비스 동시 발생]
- 정답성(true) **AND** `셀프서비스_강조`가 동시에 감지되면,
  `"combo_flags": ["정답+셀프서비스"]`로 표기한다.
  (스코어는 경과실 규칙에 따라 **3점**으로 산정)
[BRIDGING 체크 규칙(제휴/셀러 이슈 시 5점 요건)]
- “영업담당자에게 연락 드리겠습니다”에 더해 아래 중 3개 이상 포함되면 `브리징_완료`:
  (사유 설명 / 고객 승낙 확인 / 추적 약속(재전달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재확인) / TAT 또는 회신 창구 명시)
[SCORING LOGIC]
- 시작 점수: **5점**
- 감점 계산(최대치 우선, 중복 감점 금지):
  1) 중과실(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 xml:space="preserve">4) </t>
    </r>
    <r>
      <rPr>
        <rFont val="KoPub돋움체 Medium"/>
        <color theme="1"/>
        <sz val="11.0"/>
      </rPr>
      <t>있으면 최종 **1점**
  2) 중과실이 없고 경과실(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 xml:space="preserve">2) </t>
    </r>
    <r>
      <rPr>
        <rFont val="Cambria Math"/>
        <color theme="1"/>
        <sz val="11.0"/>
      </rPr>
      <t>≥</t>
    </r>
    <r>
      <rPr>
        <rFont val="Calibri"/>
        <color theme="1"/>
        <sz val="11.0"/>
      </rPr>
      <t>1</t>
    </r>
    <r>
      <rPr>
        <rFont val="KoPub돋움체 Medium"/>
        <color theme="1"/>
        <sz val="11.0"/>
      </rPr>
      <t xml:space="preserve">개면 최종 **3점**
     (이때 정답성 여부와 무관히 감점은 </t>
    </r>
    <r>
      <rPr>
        <rFont val="Cambria Math"/>
        <color theme="1"/>
        <sz val="11.0"/>
      </rPr>
      <t>−</t>
    </r>
    <r>
      <rPr>
        <rFont val="Calibri"/>
        <color theme="1"/>
        <sz val="11.0"/>
      </rPr>
      <t>2</t>
    </r>
    <r>
      <rPr>
        <rFont val="KoPub돋움체 Medium"/>
        <color theme="1"/>
        <sz val="11.0"/>
      </rPr>
      <t xml:space="preserve">로 동일하나, 정답성=true이면 combo 플래그만 부여)
  3) 감점 트리거가 전혀 없으면 **5점**
- 점수 하한 1, 상한 5.
[OUTPUT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STRICT JSON, ONE LINE]
{
  "score": 1 | 3 | 5,
  "penalties": ["</t>
    </r>
    <r>
      <rPr>
        <rFont val="KoPub돋움체 Medium"/>
        <color theme="1"/>
        <sz val="11.0"/>
      </rPr>
      <t>규정만_강조_반복" | "셀프서비스_강조" | "추가질의_누락" | "모호한_위임" | "규정외_예외적_단어"],
  "positives": ["추가질의" | "대안제시" | "소유선언" | "TAT" | "브리징_완료"],
  "correctness": {
    "is_correct": true | false,
    "evidence": ["&lt;옳은 답변으로 본 상담원 문장 최대 2-3개&gt;"]
  },
  "combo_flags": ["정답+셀프서비스"] | [],
  "evidence": {
    "neg": ["&lt;감점 근거로 본 상담원 원문 최대 3개&gt;"],
    "pos": ["&lt;적극 응대 근거로 본 상담원 원문 최대 3개&gt;"]
  },
  "reason": "&lt;점수 산정 한 줄 요약(30자 내)&gt;",
  "confidence": 0.0-1.0
}
[DECISION POLICY]
- 감점 트리거는 **상담 전체**에서 1회만 나와도 적용.
- 정답성은 맥락 기반(조회 언급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명확 결론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고객 수락)으로 보수적으로 인정.
- `정답+셀프서비스` 동시 발생 시: 점수는 3점(경과실) + combo 플래그로 리포팅.
- 애매하면 감점 미적용.</t>
    </r>
  </si>
  <si>
    <t>고객의 요청을 기반하여 추가적인 도움을 진행하고자 노력
고객의 요청이 발생하지 않았고, 
상담원은 고객 요청에 대한 적절한 응대를 진행함</t>
  </si>
  <si>
    <t>응대 품질</t>
  </si>
  <si>
    <t xml:space="preserve">첫인사 끝인사가 스크립트에 기재된 대로 진행되는가 </t>
  </si>
  <si>
    <t xml:space="preserve">[첫인사] 
" 안녕하세요. 패션을 사랑하는 무신사 서포터 000 입니다. 무엇을 도와드릴까요 
[끝인사]
혹시 더 궁금하신 사항은 없으실까요 ? 
저는 패션을 사랑하는 무신사 서포터 000 이었습니다. </t>
  </si>
  <si>
    <t xml:space="preserve">스크립트 첫 인사 내용대로 발화 
스크립트 끝 인사 내용대로 발화 </t>
  </si>
  <si>
    <t xml:space="preserve">"-5점" </t>
  </si>
  <si>
    <t>경우 1) 고객 인입시 즉시 발화되지 않음 
경우 2) 종료 전 즉시 발화되지 않음</t>
  </si>
  <si>
    <t xml:space="preserve">1) 콜 인입 후 5초 내 즉시 발화 시도 발생 필요 
2) 콜 종료 전 10-20초 내 발화 시도 발생 필요 </t>
  </si>
  <si>
    <t xml:space="preserve">경우 2개 중 1개 이상의 확인되더라도 점수는 동일 </t>
  </si>
  <si>
    <t>명료한 발음으로 정확한 인사가 이루어지지 않음</t>
  </si>
  <si>
    <t xml:space="preserve">
명료한 발음 ; STT에서 꼭 확인되어야 할 텍스트는 
 안녕 
 무신사
 서포터 000
3개 중 한 개라도 반영되지 않을 경우 명료하지 않음으로 차감됨   
</t>
  </si>
  <si>
    <t xml:space="preserve">경우 1) 첫인사와 끝인사 정상 발화, 명료한 발음으로 확인됨 
경우 2) 인사는 시도되었으나, 고객 발화 시작되어 멈춤 
경우 3) 고객 단선으로 끝인사가 이루어지지 않을 경우엔, 차감 없음 </t>
  </si>
  <si>
    <t xml:space="preserve">
1) 첫인사, 끝인사의 스크립트 문장의 발화 정상적으로 전체 확인됨 
[스크립트 정규 인사 ] 
" 안녕하세요 패션을 사랑하는 무신사 서포터 000 입니다. 무엇을 도와드릴까요 " 
1-1) 명료한발음 
"안녕" 
"무신사"
"서포터 000 " 
3개 중 한 개라도 반영되지 않을 경우 명료하지 않음으로 차감됨   
2) 상담원 인사 문장 구사가 "안녕하세요" 의 "ㅇ" 만 발음 시작 + 고객과의 말겹침 없음, 상담원은 발화 중단 고객의 발화 진행 
2-1) 상담원의 첫인사 문장 구사 시작 " 안녕하세요"  발화 중 고객과의 말겹침 (0.15s), 상담원 발화 중단 고객의 발화 이어감 
3) 끝인사의 "감사합니다." 가 시도되는 중에 고객 단선으로 인하여 녹취가 끝까지 진행되지 않아도 인사 발화 시도로 판단. 
** and 조건 ( 경우 1번과 말겹침이 발생, 감점 없음 ) = 경우 2번 
** and 조건 (경우 1번과 고객 단선 발생, 감점 없음 ) = 경우 3번</t>
  </si>
  <si>
    <t xml:space="preserve">고객의 인사에 대한 적절한 화답
고객의 인사 ) 
㉠안녕하세요 
㉡수고하십니다. 
㉢여보세요 ? </t>
  </si>
  <si>
    <t xml:space="preserve">네 
예 
네 말씀하세요. 
의 대답으로 화답할 경우 </t>
  </si>
  <si>
    <t xml:space="preserve">고객의 연결 지연에 대한 불편 
첫인사 이후, 
고객의 발화에서 
" 힘들어요 " 
" 안돼요 " 
가 확인되면, 
ex : 전화 연결이 왜 이렇게 힘들어요 
ex : 상담사 연결이 너무 안돼요
첫 인사 후, 고객이 안돼요 힘들어요 란 문장이 포함된 발화를 했을 때, </t>
  </si>
  <si>
    <t>"-3점</t>
  </si>
  <si>
    <t>프롬프트</t>
  </si>
  <si>
    <t xml:space="preserve">긍 / 부정 상황에 대한 충분한 공감
 </t>
  </si>
  <si>
    <t>[ROLE]
너는 한국어 전화 상담 STT 로그를 채점하는 QA 평가자다.
평가 항목: “긍/부정 상황에 대한 충분한 공감” (감점형: 0 / -3 / -5).
[INPUT]
CALL_STT=
&lt;시간순 STT. 화자는 ‘고객: …’, ‘상담원: …’.&gt;
[IGNORE]
- ARS/IVR/녹음 고지, 시스템 멘트, 배경 소음 표기
- 숫자·개인정보 낭독, 주소/코드 철자 등 불가피한 반복
[TRIGGERS — 고객 감정 탐지 (의미 유사 허용)]
- 부정 상황 신호(불만/불편/실망/분노/걱정/문제/오류/지연/손해/취소·환불 요구 등)
  예) “너무 불편해요/화가 납니다/계속 오류나요/환불 원해요/안 돼요/답답해요”
- 긍정 상황 신호(감사/칭찬/안도/기쁨/만족/문제 해결 확인 등)
  예) “감사해요/다행이에요/덕분이에요/좋아요/만족합니다”
[EMPATHY LEXICON — 공감 표현(필수 단어 중심, 의미 유사 허용)]
- 부정 공감(예: “불편을 드려 죄송합니다/혼선 드려 죄송합니다/힘드셨겠어요/답답하셨죠/걱정되셨죠/제가 도와드릴게요”)
  핵심 단어: {죄송, 불편, 혼선, 당황, 답답, 힘드시, 걱정, 유감, 불편 끼쳐}
- 긍정 공감(예: “좋은 소식이네요/다행입니다/말씀 감사해요/축하드립니다/기쁘네요”)
  핵심 단어: {감사, 다행, 축하, 잘되, 기쁘, 좋(습니다/아요)}
[MINIMAL RESPONSES — 미미한 발화(상황에 맞지 않음)]
- 공감 없이 형식적 호응만: “네/네네/예/그렇군요/알겠습니다/확인하겠습니다/안내드리겠습니다”
- 즉시 절차·정책만: “예약정보 확인 후 안내드리겠습니다/정책상 불가합니다/공지사항 참고”
(위 표현은 **단독**일 때만 미미로 간주. 같은 문장/바로 다음 문장에 공감이 있으면 미미 아님)
[WINDOW]
- 고객의 감정 표현 직후 **상담원 ‘첫 문장(또는 첫 문단)’** 안에서 공감 여부를 판정.
- 문장 경계: 마침표/물음표/느낌표/줄바꿈 기준.
[SCORING LOGIC]
- 기본값: **0점**.
- **-5점(무시)**: 고객 감정 표현 뒤, 상담원 첫 문장/문단에 공감 표현이 **전혀 없음**.
  (형식적 호응·절차 안내만 있고 공감 키워드/의미가 없으면 무시로 간주)
- **-3점(미미)**: 공감이 있으나 **상황과 결이 어긋나거나 지나치게 형식적**으로 들림
  (예: 부정 상황인데 “확인하겠습니다”만, 긍정 상황인데 “네”만 등)
- **0점(정상)**: 트리거별로 적절한 공감이 즉시 발화되었거나, 통화 전반에 감정 트리거가 없고 적절한 호응어가 사용됨.
[OUTPUT — STRICT JSON, ONE LINE]
{
  "score": -5 | -3 | 0,
  "triggers": {"positive": ["&lt;고객 긍정 발화 샘플&gt;"], "negative": ["&lt;고객 부정 발화 샘플&gt;"]},
  "matched_empathy": {"type": "positive|negative|none|minimal", "agent_first_sentence": "&lt;상담원 첫 문장 원문&gt;", "phrase": "&lt;감지한 공감 키워드/구문&gt;"},
  "flags": ["무시" | "미미" | "정상"],
  "reason": "&lt;판정 요약 30자&gt;",
  "confidence": 0.0-1.0
}
[DECISION POLICY]
- 부정/긍정 트리거가 **둘 다** 있으면, 각각의 첫 반응을 따로 보되 **가장 낮은 점수**를 최종 점수로 적용.
- 같은 문장 또는 바로 다음 문장에서 **사과+소유+도움 약속**이 함께 있으면 미미/무시로 보지 않음.
- 애매하면 0점, 확실하면 -3 또는 -5.</t>
  </si>
  <si>
    <r>
      <rPr>
        <rFont val="KoPub돋움체 Medium"/>
        <color theme="1"/>
        <sz val="11.0"/>
      </rPr>
      <t xml:space="preserve">발화의 미미 ( </t>
    </r>
    <r>
      <rPr>
        <rFont val="KoPub돋움체 Medium"/>
        <color theme="5"/>
        <sz val="11.0"/>
      </rPr>
      <t>미미한 발화의 예시를 참조</t>
    </r>
    <r>
      <rPr>
        <rFont val="KoPub돋움체 Medium"/>
        <color theme="1"/>
        <sz val="11.0"/>
      </rPr>
      <t xml:space="preserve"> ) 
 즉, 상황에 맞지 않는 대응 표현</t>
    </r>
  </si>
  <si>
    <t xml:space="preserve">미미한 발화의 예시 ( * 참조와 같은 발화가 상담원이 진행했을 경우엔, 발화의 미미로 감점 사안에 해당함 ) 
</t>
  </si>
  <si>
    <t xml:space="preserve">트리거별 정상적인 공감 발화가 이루어짐 
긍 / 부정 상황이 발생되지 않았고, 
적절한 호응어들이 구사됨 </t>
  </si>
  <si>
    <t xml:space="preserve">공감 표현 ( *참조 ) 중 필수 단어가 표시됨 
호응어 ( * 참조 ) </t>
  </si>
  <si>
    <t xml:space="preserve">동시 발화가 이루어지지 않게 함
 상황은 ' 상담원 발화 중 고객의 말겹침' 만 한정한다. </t>
  </si>
  <si>
    <t xml:space="preserve">동시 발화 : 고객이 말을 시작하면 상담원은 즉시 종료한다 
</t>
  </si>
  <si>
    <t>동시 발화 : 두 화자의 발화가 0.15 S 이상 겹쳐지고 고객이 발화를 멈추고 상담원이 발화 지속</t>
  </si>
  <si>
    <t xml:space="preserve">말 겹쳐짐 이후, 사과나 멈춤 없이 상담원 발화 지속됨 
0.15s 이상 겹쳐짐 이후 
상담원 사과 
" 죄송합니다. 먼저 말씀 하십시오 " 
" 죄송합니다 " 
혹은 멈춤 발생 없음 </t>
  </si>
  <si>
    <t xml:space="preserve">고객 발화 중 상담 직원의 말겹침 구간 검사 
&gt; 말겹침 시간 기준 자체를 조정할 수 있게끔 되어 있음 
</t>
  </si>
  <si>
    <t xml:space="preserve">말겹쳐짐 이후, 멈춤 
상담원의 정상 발화 회복 했으나 
상담원의 사과없이 발화  </t>
  </si>
  <si>
    <t xml:space="preserve">0.15s 이상 겹침 이후 
멈춤 
사과없음
상담원 발화 지속됨 </t>
  </si>
  <si>
    <t xml:space="preserve">말겹침 &gt; 멈춤 &gt; 사과 누락 &gt; 상담원 발화 </t>
  </si>
  <si>
    <t xml:space="preserve">동시 발화 발생의 경우, 
1)상담원의 발화 멈춤,  상담원의 사과,  고객 발화 시작 
2)상담원의 발화 멈춤, 상담원의 사과, 고객의 양해 후 상담원의 발화 시작 </t>
  </si>
  <si>
    <t xml:space="preserve">1) 동시 발화가 발생하는 순간이 없음 
2-1) 
0.15s 이상 말겹침 
멈춤 
상담원 사과 
고객 발화 시작 
2-2) 
0.15s 이상 말겹침 
멈춤
상담원 사과 
고객 양해 " 예 먼저 말씀하세요 " 등, 고객의 양해 ( 발화 ) 
상담원의 발화 시작  </t>
  </si>
  <si>
    <t>말겹침 &gt; 멈춤 &gt; 사과 &gt; 상담원 발화 
말겹침 &gt; 멈춤 &gt; 사과 &gt; 고객 양해 &gt; 상담원 발화</t>
  </si>
  <si>
    <t xml:space="preserve">무응답 : 
고객 상담 중, 
양해 멘트 발화 없이 
무응답이 발생하여 
상담원의 발화를 촉구하여 상담원이 대답함 
" 상담원의 발화 촉구가 발생할 경우 감점 " </t>
  </si>
  <si>
    <t xml:space="preserve">** 고객의 상담원 발화 촉구 내용 : 참조 사항 확인 </t>
  </si>
  <si>
    <t xml:space="preserve">and 조건, " 양해 멘트 발화 없음 " + " 고객은 상담원 발화 촉구 " </t>
  </si>
  <si>
    <t xml:space="preserve">경우 1) 상담원의 양해 멘트 발화 
: 15초 이상의 고객 대기 
: 그 이후에도 무응답 상태의 지속 
경우 2) 사후 양해 안내 멘트 누락 </t>
  </si>
  <si>
    <t>경우 1) 
1-1) 잠시만 기다려주시겠습니까 ? 
1-2) 15초 이상 고객 대기 
1- 3) 15초 이후 무응답 지속 
경우 2) 
2-1) 잠시만 기다려주시겠습니까 ? 
2-2) 15초 이상 고객 대기 
2-3) 사후 양해 안내 멘트 누락</t>
  </si>
  <si>
    <t>1) 위 상황이 상담 전체 중 한 번 이상 발생되어도 점수는 동일
2) 경우 2개 중 한 개만 발생되어도 점수는 동일</t>
  </si>
  <si>
    <t xml:space="preserve">경우 1) 무응답 상황 발생 없음 
경우 2) 15초 이상의 고객 대기 발생시, 상담사의 발화 발생 </t>
  </si>
  <si>
    <t xml:space="preserve">경우 1) 무응답 상황 발생 없음 
경우 2) 15초 이상의 고객 대기 발생시, 사후 양해 멘트 이외 " 조금만 더 양해 부탁드리겠습니다. " 등의 양해 멘트 발화 필요 
대기 종료 시에는 사후 양해 멘트 발생 필요 </t>
  </si>
  <si>
    <t>경우 2개 중 한 개만 확인되어야 함</t>
  </si>
  <si>
    <t xml:space="preserve">욕설로 판단될 수 있는 단어의 발화
** 참조 </t>
  </si>
  <si>
    <t>상담원의 한숨</t>
  </si>
  <si>
    <t>한숨 쉬지 않는다</t>
  </si>
  <si>
    <t xml:space="preserve">한숨 쉬지 않음 </t>
  </si>
  <si>
    <t>말끊기</t>
  </si>
  <si>
    <t>3점</t>
  </si>
  <si>
    <t xml:space="preserve">"-3점" </t>
  </si>
  <si>
    <t>상담원의 의도적인 말겹침이 발생하였으며, 상담원은 중단 없음 
고객이 발화하고 있는 중, 상담원이 고객 발화를 중단시킴</t>
  </si>
  <si>
    <t xml:space="preserve">고객의 발화 중간에 상담원이 말끊음 </t>
  </si>
  <si>
    <t>고객향상담</t>
  </si>
  <si>
    <t xml:space="preserve">전문적인 상담 어조를 통해 원활하고 고객향 상담을 완성한다 </t>
  </si>
  <si>
    <t xml:space="preserve"> 무시 / 무관심 </t>
  </si>
  <si>
    <r>
      <rPr>
        <rFont val="KoPub돋움체 Medium"/>
        <color rgb="FFFF0000"/>
        <sz val="11.0"/>
      </rPr>
      <t>참조</t>
    </r>
    <r>
      <rPr>
        <rFont val="KoPub돋움체 Medium"/>
        <color theme="1"/>
        <sz val="11.0"/>
      </rPr>
      <t xml:space="preserve">내 내용으로 발화되는 경우 + 평가원 평가 </t>
    </r>
  </si>
  <si>
    <r>
      <rPr>
        <rFont val="KoPub돋움체 Medium"/>
        <color theme="1"/>
        <sz val="11.0"/>
      </rPr>
      <t>[ROLE]
너는 한국어 **전화 상담 STT 로그**를 채점하는 QA 평가자다.
평가 항목: “전문적인 상담 어조로 고객향 상담을 완성한다 ( +3 / 0 / -3 )”.
[INPUT]
CALL_STT=
&lt;시간순 STT 대화. 화자 표시는 ‘고객: …’, ‘상담원: …’.&gt;
&lt;ARS/IVR/녹음 고지/대기음 표기는 포함될 수 있음.&gt;
[IGNORE]
- ARS/IVR 멘트, 녹음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보안 고지, 콜 연결/종료 시스템 멘트, 배경 소음 표기.
- 타임스탬프/이모지/괄호 표기 등 메타정보.
[전화 상담 정의]
- 전문 어조: 존칭 일관(</t>
    </r>
    <r>
      <rPr>
        <rFont val="Arial"/>
        <color theme="1"/>
        <sz val="11.0"/>
      </rPr>
      <t>–</t>
    </r>
    <r>
      <rPr>
        <rFont val="KoPub돋움체 Medium"/>
        <color theme="1"/>
        <sz val="11.0"/>
      </rPr>
      <t>습니다/</t>
    </r>
    <r>
      <rPr>
        <rFont val="Arial"/>
        <color theme="1"/>
        <sz val="11.0"/>
      </rPr>
      <t>–</t>
    </r>
    <r>
      <rPr>
        <rFont val="KoPub돋움체 Medium"/>
        <color theme="1"/>
        <sz val="11.0"/>
      </rPr>
      <t>세요), 간결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명확, 비속어/반말/명령조 없음, 불필요한 추측 최소화.
- 고객향(고객 중심성): 고객 의도를 **재진술/요약**, 책임형 표현(“제가/저희가 ~하겠습니다”), **다음 단계 또는 기한(TAT)** 명시, 필요 시 **대안/옵션** 제시.
- 통화 예절 신호(가점 요소): 전화 개시 인사+소속/본인 소개, **말 겹침 시 사과 후 양보**(“말씀 중 죄송합니다”), **대기 안내**(이유+예상 소요/복귀 공지), **전달/이관** 시 이유 설명과 승낙 확인, 통화 마무리 인사.
[무시/무관심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전화 맥락 기준 (의미 유사도 판단)]
아래와 **의미가 같은** 응대가 상담 중 **1회라도** 있으면 감점 후보.
- 단답/차단: “불가합니다/안 됩니다/규정상 불가/공지 보세요/모릅니다/일단 해보고 연락 주세요” 등 사유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대안 없이 차단.
- 타박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명령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무례: “됐고요/지금 당장 하세요/제 말 좀 들으세요/그니까/아니라니까요/눌러야죠/계속 하세요/여보세요(꾸짖는 톤)” 등.
- 공격적 되묻기: “그래서요?/그래서 뭘 해달라는 거예요?/그건 왜 필요하세요?” 등.
- **회피성 전환**: 고객 이슈를 **재진술 없이** 신원확인이나 다른 주제로 돌림(예: “예약자 성함부터요”만 말함).
- **형식적 호응 반복**: “네/네네네/음…”만 연속 사용하며 실질 응대 없이 다음으로 넘어감.
- **겹말/말 끊기**: 고객이 말하는 중 **사과 없이** 끊고 질문 전개. (“말씀 중 죄송합니다” 없이 끼어듦)
[가점 신호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전화 맥락]
- 전문 어조 문구: “확인 후 안내드리겠습니다/도와드리겠습니다/혼선 드려 죄송합니다/정확히 확인하겠습니다/말씀 요약드리면…”
- 고객향 실행: 고객 요구 **재진술**, 책임형 표현, **대안/옵션** 제시, **TAT**(“~까지 회신 드리겠습니다/익일 중 문자 안내”), 대기 안내(이유+복귀 공지), 겹발화 시 **사과 후 양보**.
[SCORING LOGIC]
1) 기본값 3점.
2) **무시/무관심** 신호가 상담 전반에서 **1회라도** 뚜렷하면 **최종 -3점**. (특히 고객 발화 직후 상담원 **첫 응답**에서 발견되면 -3 확정)
   - 단, 같은 문장 안에 **사과/책임/대안** 중 2개 이상이 함께 있으면 무시/무관심으로 보지 말 것.
     예) “불편을 드려 죄송합니다. 정확한 확인을 위해 예약자 성함 부탁드립니다.”
3) 감점이 없고, 대화 전반에 **전문 어조**가 유지되며 **고객향 신호**가 충분하고 **TAT 또는 다음 단계**가 최소 1회 이상 명시되면 **+3점**.
4) 그 외는 **3점**.</t>
    </r>
  </si>
  <si>
    <t xml:space="preserve">수동 평가 </t>
  </si>
  <si>
    <t>전문적인 상담 어미</t>
  </si>
  <si>
    <t xml:space="preserve">다.나.까.요 등으로 끝나지 않는 상담원의 발화 </t>
  </si>
  <si>
    <t>다.나.까.요 등으로 상담이 완료</t>
  </si>
  <si>
    <t>말더듬이나 머뭇거림이 없는 전문적 상담 화법</t>
  </si>
  <si>
    <t>"-1점"</t>
  </si>
  <si>
    <t xml:space="preserve">비언어 발화 </t>
  </si>
  <si>
    <t>참조 내 단어 확인</t>
  </si>
  <si>
    <r>
      <rPr>
        <rFont val="Malgun Gothic"/>
        <color theme="1"/>
        <sz val="11.0"/>
      </rPr>
      <t>[ROLE]
너는 한국어 전화 상담 STT 로그를 채점하는 QA 평가자다.
평가 항목: "전문적인 상담 화법(5점) — 비언어 발화/형식적 호응 감점형".
[INPUT]
CALL_STT=
&lt;시간순 STT 대화. 화자 표시는 ‘고객: …’, ‘상담원: …’. 타임스탬프/메타표기는 포함될 수 있음&gt;
[IGNORE]
- ARS/IVR/녹음 고지, 대기음/벨소리/시스템 멘트, 고객 발화의 비언어 표지.
- 숫자/개인정보 낭독, 주소·코드 철자 등 불가피한 반복.
[정의]
- 평가 대상은 **상담원 발화**만.
- "비언어 발화(필러/감탄사)" 사전(포함·의미유사 허용):
  {어, 음, 아, 에, 어어, 음음, 흠, 흐음, 으음, 어우, 헉, 헐, 와, 우와, 어머, 세상에, 아이고, 에구, 아휴, 어휴, 에이, 음…, 글쎄…}
- "형식적 호응(연속 백채널)" 패턴(표현 변형·띄어쓰기·중간점 포함 허용):
  - **네** 3회 이상 연속: 예) "네네네", "네 네 네", "네..네..네", "네에에"
  - **예** 3회 이상 연속: 예) "예예예", "예 예 예", "예..예..예", "예에에"
  (두 가지 유형으로 **한정**)
[계수 규칙]
- 비언어 발화: 상담원 턴에서 위 사전 항목이 **문장 서두/단독 감탄/머뭇거림**으로 쓰인 경우를 1회로 센다.
  - 같은 문장 안에서 여러 개가 붙어도 1회로 집계. 대화 전체에서 누적.
- 형식적 호응: 위 연속 패턴이 **하나의 발화(턴)** 안에 나타나면 1회로 집계. 대화 전체에서 누적.
- 예외(오탐 방지):
  1) "음… 확인 후 안내드리겠습니다"처럼 **비언어+즉시 전문 문장**이 붙는 경우, 해당 문장은 0.5회로 취급하고 반올림 버림(즉, 단독 1회로만 카운트되는 경우에만 집계).
  2) "네, 알겠습니다 / 네, 확인했습니다"는 집계하지 않음.
  3) 숫자·코드 받아적기 중 "네, 네, 0-1-0…"처럼 **확인 응답 사이클**은 집계하지 않음.
[스코어링]
- 시작 점수: **5점**.
- 감점 규칙(상담 전체 기준, 상한 고정):
  - 비언어 발화가 **2회 이상**이면 **</t>
    </r>
    <r>
      <rPr>
        <rFont val="Cambria Math"/>
        <color theme="1"/>
        <sz val="11.0"/>
      </rPr>
      <t>−</t>
    </r>
    <r>
      <rPr>
        <rFont val="맑은 고딕"/>
        <color theme="1"/>
        <sz val="11.0"/>
      </rPr>
      <t>1점** (2회 미만이면 0점). 더 많이 발생해도 감점 고정.
  - 형식적 호응(네/예 3연속) 발생 **3회 이상**이면 **</t>
    </r>
    <r>
      <rPr>
        <rFont val="Cambria Math"/>
        <color theme="1"/>
        <sz val="11.0"/>
      </rPr>
      <t>−</t>
    </r>
    <r>
      <rPr>
        <rFont val="맑은 고딕"/>
        <color theme="1"/>
        <sz val="11.0"/>
      </rPr>
      <t xml:space="preserve">3점** (3회 미만이면 0점). 더 많이 발생해도 감점 고정.
- 최종 점수 = 5 </t>
    </r>
    <r>
      <rPr>
        <rFont val="Cambria Math"/>
        <color theme="1"/>
        <sz val="11.0"/>
      </rPr>
      <t>−</t>
    </r>
    <r>
      <rPr>
        <rFont val="맑은 고딕"/>
        <color theme="1"/>
        <sz val="11.0"/>
      </rPr>
      <t xml:space="preserve"> (비언어 감점) </t>
    </r>
    <r>
      <rPr>
        <rFont val="Cambria Math"/>
        <color theme="1"/>
        <sz val="11.0"/>
      </rPr>
      <t>−</t>
    </r>
    <r>
      <rPr>
        <rFont val="맑은 고딕"/>
        <color theme="1"/>
        <sz val="11.0"/>
      </rPr>
      <t xml:space="preserve"> (형식적 호응 감점), 최솟값 0점.</t>
    </r>
  </si>
  <si>
    <t>상담 전체 시간 중 2회 이상 발화 시 점수 동일</t>
  </si>
  <si>
    <t>전문적이지 않은 호응 태도</t>
  </si>
  <si>
    <t xml:space="preserve">네네네네 
예예예예
네네네 
예예예 
두 가지 경우의 호응 태도로 한정 </t>
  </si>
  <si>
    <t>상담 전체 시간 중 3회 이상 발화 시 감점, 점수는 동일</t>
  </si>
  <si>
    <t>말더듬이나 머뭇거림 없는 전문적인 화법으로 상담이 이루어짐</t>
  </si>
  <si>
    <r>
      <rPr>
        <rFont val="KoPub돋움체 Medium"/>
        <color theme="1"/>
        <sz val="11.0"/>
      </rPr>
      <t>[ROLE]
너는 한국어 전화 상담 STT 로그를 채점하는 QA 평가자다.
평가 항목: “회피(회피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모호 응대) </t>
    </r>
    <r>
      <rPr>
        <rFont val="Arial"/>
        <color theme="1"/>
        <sz val="11.0"/>
      </rPr>
      <t>—</t>
    </r>
    <r>
      <rPr>
        <rFont val="Calibri"/>
        <color theme="1"/>
        <sz val="11.0"/>
      </rPr>
      <t xml:space="preserve"> 5 / 0 / -3”.
[INPUT]
CALL_STT=
&lt;</t>
    </r>
    <r>
      <rPr>
        <rFont val="KoPub돋움체 Medium"/>
        <color theme="1"/>
        <sz val="11.0"/>
      </rPr>
      <t>시간순 STT. 화자 표시는 ‘고객: …’, ‘상담원: …’.&gt;
[IGNORE]
- ARS/IVR/녹음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보안 고지, 시스템 멘트, 배경 소음 표기
- 숫자/개인정보 낭독, 주소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코드 철자 등 불가피한 반복
[DEFINITIONS]
- 회피(evasion): 고객의 질문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요청에 대해 **명확한 답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소유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다음 단계** 없이
  추측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조건부 사과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>책임 회피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주제 전환으로 빠져나가는 응대.
- 회피 예시(의미 유사 허용):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“</t>
    </r>
    <r>
      <rPr>
        <rFont val="KoPub돋움체 Medium"/>
        <color theme="1"/>
        <sz val="11.0"/>
      </rPr>
      <t xml:space="preserve">제가 알기론…”, “아마…”, “~일 텐데요”, “~일 겁니다”, “~같습니다”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“</t>
    </r>
    <r>
      <rPr>
        <rFont val="KoPub돋움체 Medium"/>
        <color theme="1"/>
        <sz val="11.0"/>
      </rPr>
      <t xml:space="preserve">불편하셨다면 죄송합니다 / 만족하지 못하셨다면 죄송합니다”(if-pology)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“</t>
    </r>
    <r>
      <rPr>
        <rFont val="KoPub돋움체 Medium"/>
        <color theme="1"/>
        <sz val="11.0"/>
      </rPr>
      <t xml:space="preserve">정확한 건 모르겠습니다”, “담당 부서라서…(후속 조치 없이 종료)”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>고객 질문을 재진술 없이 다른 절차로 돌림(신원확인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약관 낭독 등)만 반복
- 적극 응대(비회피 신호):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</t>
    </r>
    <r>
      <rPr>
        <rFont val="KoPub돋움체 Medium"/>
        <color theme="1"/>
        <sz val="11.0"/>
      </rPr>
      <t xml:space="preserve">고객 요구 **재진술/요약** + **가능/불가 명시**(이유 포함) + **대안/옵션**
  </t>
    </r>
    <r>
      <rPr>
        <rFont val="Arial"/>
        <color theme="1"/>
        <sz val="11.0"/>
      </rPr>
      <t>•</t>
    </r>
    <r>
      <rPr>
        <rFont val="Calibri"/>
        <color theme="1"/>
        <sz val="11.0"/>
      </rPr>
      <t xml:space="preserve"> **</t>
    </r>
    <r>
      <rPr>
        <rFont val="KoPub돋움체 Medium"/>
        <color theme="1"/>
        <sz val="11.0"/>
      </rPr>
      <t>소유(제가/저희가 하겠습니다)** + **TAT(기한/약속)** 제시
[EXCEPTIONS]  // 오탐 방지
- 추측 표현이 있어도 같은 문장 안에서 **소유 + TAT**가 명확하면 회피로 보지 않음.
  예) “제가 알기로는 내일 확정됩니다. 제가 내일 3시에 결과 드리겠습니다.”
[SCORING LOGIC]
1) 기본값 5점.
2) 아래 중 하나라도 **상담 전반에서 1회 이상** 확인되면 최종 **-3점**(빈도와 무관):
   - 회피 예시와 의미상 동등한 표현
   - 조건부 사과로 마무리하고 실질 조치 없이 전환</t>
    </r>
    <r>
      <rPr>
        <rFont val="Calibri"/>
        <color theme="1"/>
        <sz val="11.0"/>
      </rPr>
      <t>·</t>
    </r>
    <r>
      <rPr>
        <rFont val="KoPub돋움체 Medium"/>
        <color theme="1"/>
        <sz val="11.0"/>
      </rPr>
      <t xml:space="preserve">종료
3) 회피가 **단 한 번도 없고**, 대화 전반에 **적극 응대 신호**(재진술/소유/이유/대안 중 다수)와 **TAT 또는 다음 단계**가 최소 1회 이상 명시되면 **5점**.
</t>
    </r>
  </si>
  <si>
    <t>청취</t>
  </si>
  <si>
    <t xml:space="preserve">고객의 유선 상담 목적 
구매자명 ( 수령자명 ) 
연락처 
에 대해 고객 발화 이후 
상담원 재 질의로 고객은 다시 한 번 언급 </t>
  </si>
  <si>
    <t>-5점</t>
  </si>
  <si>
    <t xml:space="preserve">고객 발화 이후 3s 이내에 상담원의 호응 및 답변이 이루어져야 하나
이루어지지 않음 
** 비언어는 제외 
한 턴이 시작될 때, 상담원의 발화는 고객 발화 이후 1초 이내에 시작되어야 함 </t>
  </si>
  <si>
    <t>-3점</t>
  </si>
  <si>
    <t>중분류</t>
  </si>
  <si>
    <t>소분류</t>
  </si>
  <si>
    <t>차감</t>
  </si>
  <si>
    <t xml:space="preserve">환불 수수료 기준안을 기반하여 정확한 고객 안내 </t>
  </si>
  <si>
    <t xml:space="preserve">기간계 정보와 상담원 발화 내용을 비교한다 </t>
  </si>
  <si>
    <t xml:space="preserve">취소 수수료 및 환불 금액의 정확한 안내 </t>
  </si>
  <si>
    <t xml:space="preserve">기간계 정보와 실제 취소 가능 금액을 비교한다 </t>
  </si>
  <si>
    <t xml:space="preserve">상품 정보 </t>
  </si>
  <si>
    <t>2점</t>
  </si>
  <si>
    <t>"-2점</t>
  </si>
  <si>
    <t xml:space="preserve">상품 안내 </t>
  </si>
  <si>
    <t>취소 가능 시점</t>
  </si>
  <si>
    <t xml:space="preserve">기간계 연동되어 인입시간 기준 취소 가능 여부 안내 </t>
  </si>
  <si>
    <t xml:space="preserve">고객 인입 시점이 상품 수령 후 7일 이내가 맞는지 확인하여 안내 </t>
  </si>
  <si>
    <t>고객 재질의 예시</t>
  </si>
  <si>
    <t xml:space="preserve">필수 포함 Text </t>
  </si>
  <si>
    <t xml:space="preserve">참조 </t>
  </si>
  <si>
    <t>QA 평가 기준안</t>
  </si>
  <si>
    <t>기준일자: 2025.09.07</t>
  </si>
  <si>
    <t>적용 서비스: 現 인터파크 NOL 및 기타 커머스 O2O 서비스</t>
  </si>
  <si>
    <t xml:space="preserve">                   後 커머스 서비스 </t>
  </si>
  <si>
    <t>기준1) 기본 원칙</t>
  </si>
  <si>
    <t>본 QA 평가는 각 서비스의 이용 약관 및 정책을 기본 기준으로 삼는다.</t>
  </si>
  <si>
    <t>서비스 내용이 변경될 경우, QA 평가 기준 역시 변경된 서비스 정책에 맞추어 조정한다.</t>
  </si>
  <si>
    <t>기준2) 적용 범위</t>
  </si>
  <si>
    <t>본 기준은 고객 상담 채널 중 전화를 기본으로 하였으며, 챗 메일 게시판 등의 상담 평가 기준은 일부 상이하다</t>
  </si>
  <si>
    <t>다만, 서비스별 특수 기능이나 상담 유형에 따라 세부 항목(예: 부록, 별첨 지침 등)은 별도 정의하여 반영한다.</t>
  </si>
  <si>
    <t>기준3) 평가 방식</t>
  </si>
  <si>
    <t>QA 평가는 AI 기반 자동 평가와 운영자 수동 평가를 병행한다.</t>
  </si>
  <si>
    <t>원칙적으로 자동 평가 결과를 우선 적용하며, 자동 평가가 불가하거나 오류 가능성이 있는 경우 수동 평가를 보완적으로 활용한다.</t>
  </si>
  <si>
    <t>기준4) 용어 정의</t>
  </si>
  <si>
    <t>QA(Quality Assurance): 상담 응대 품질을 점검하고 개선하기 위한 활동.</t>
  </si>
  <si>
    <t>자동 평가: STT·LLM 등 시스템을 활용한 AI 기반 평가.</t>
  </si>
  <si>
    <t>수동 평가: QA 담당자 또는 관리자가 직접 검수하는 평가.</t>
  </si>
  <si>
    <t xml:space="preserve">준수 : 감점 사항이 발생하지 않고, 차감할 항목이 발견되지 않음 </t>
  </si>
  <si>
    <t>기준5) 예외 규정</t>
  </si>
  <si>
    <t>다음의 경우는 평가 항목에서 제외하거나 별도 처리함을 기준으로 둔다.</t>
  </si>
  <si>
    <t>5-1.시스템 장애, 네트워크 오류 등 상담원 통제 불가능 상황</t>
  </si>
  <si>
    <t>5-2.긴급 상황(안전, 보안, 재해 관련)으로 정상 절차가 불가한 경우</t>
  </si>
  <si>
    <t>5-3.정책상 별도 가이드에 따른 특수 처리 건</t>
  </si>
  <si>
    <t xml:space="preserve">5-4.그외 규정하지 못한 사유로 인한 서비스의 원활한 진행이 어렵다고 판단된 경우 ( 기준시간, 기준일자 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</si>
</sst>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Aptos Narrow"/>
      <scheme val="minor"/>
    </font>
    <font>
      <sz val="10.0"/>
      <color theme="1"/>
      <name val="KoPub돋움체 Medium"/>
    </font>
    <font>
      <sz val="10.0"/>
      <color theme="1"/>
      <name val="Aptos Narrow"/>
      <scheme val="minor"/>
    </font>
    <font>
      <sz val="10.0"/>
      <color theme="1"/>
      <name val="Aptos Narrow"/>
    </font>
    <font/>
    <font>
      <sz val="10.0"/>
      <color rgb="FF000000"/>
      <name val="KoPub돋움체 Medium"/>
    </font>
    <font>
      <sz val="10.0"/>
      <color theme="1"/>
      <name val="Arial"/>
    </font>
    <font>
      <u/>
      <sz val="10.0"/>
      <color theme="10"/>
      <name val="Malgun Gothic"/>
    </font>
    <font>
      <sz val="10.0"/>
      <color theme="1"/>
      <name val="Malgun Gothic"/>
    </font>
    <font>
      <u/>
      <sz val="10.0"/>
      <color theme="10"/>
      <name val="Malgun Gothic"/>
    </font>
    <font>
      <u/>
      <sz val="10.0"/>
      <color theme="10"/>
      <name val="KoPub돋움체 Medium"/>
    </font>
    <font>
      <u/>
      <sz val="10.0"/>
      <color theme="10"/>
      <name val="KoPub돋움체 Medium"/>
    </font>
    <font>
      <sz val="9.0"/>
      <color theme="1"/>
      <name val="Aptos Narrow"/>
    </font>
    <font>
      <b/>
      <sz val="9.0"/>
      <color rgb="FFFFFFFF"/>
      <name val="Arial"/>
    </font>
    <font>
      <sz val="9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sz val="9.0"/>
      <color rgb="FF000000"/>
      <name val="Arial"/>
    </font>
    <font>
      <b/>
      <u/>
      <sz val="9.0"/>
      <color theme="1"/>
      <name val="Arial"/>
    </font>
    <font>
      <u/>
      <sz val="9.0"/>
      <color rgb="FF0000FF"/>
      <name val="Arial"/>
    </font>
    <font>
      <b/>
      <sz val="9.0"/>
      <color theme="1"/>
      <name val="Arial"/>
    </font>
    <font>
      <u/>
      <sz val="9.0"/>
      <color rgb="FF0000FF"/>
      <name val="Arial"/>
    </font>
    <font>
      <b/>
      <sz val="10.0"/>
      <color theme="1"/>
      <name val="KoPub돋움체 Medium"/>
    </font>
    <font>
      <sz val="11.0"/>
      <color theme="1"/>
      <name val="KoPub돋움체 Medium"/>
    </font>
    <font>
      <sz val="11.0"/>
      <color rgb="FFFF0000"/>
      <name val="Malgun Gothic"/>
    </font>
    <font>
      <b/>
      <sz val="22.0"/>
      <color theme="0"/>
      <name val="KoPub돋움체 Medium"/>
    </font>
    <font>
      <sz val="11.0"/>
      <color theme="0"/>
      <name val="KoPub돋움체 Medium"/>
    </font>
    <font>
      <sz val="11.0"/>
      <color theme="1"/>
      <name val="Malgun Gothic"/>
    </font>
    <font>
      <sz val="11.0"/>
      <color rgb="FFFF0000"/>
      <name val="KoPub돋움체 Medium"/>
    </font>
    <font>
      <b/>
      <sz val="18.0"/>
      <color theme="0"/>
      <name val="KoPub돋움체 Medium"/>
    </font>
    <font>
      <sz val="11.0"/>
      <color theme="0"/>
      <name val="Malgun Gothic"/>
    </font>
    <font>
      <sz val="11.0"/>
      <color theme="1"/>
      <name val="Aptos Narrow"/>
    </font>
    <font>
      <sz val="10.0"/>
      <color theme="0"/>
      <name val="KoPub돋움체 Medium"/>
    </font>
    <font>
      <b/>
      <sz val="11.0"/>
      <color theme="1"/>
      <name val="KoPub돋움체 Medium"/>
    </font>
  </fonts>
  <fills count="11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D0D0D0"/>
        <bgColor rgb="FFD0D0D0"/>
      </patternFill>
    </fill>
    <fill>
      <patternFill patternType="solid">
        <fgColor rgb="FF000000"/>
        <bgColor rgb="FF000000"/>
      </patternFill>
    </fill>
    <fill>
      <patternFill patternType="solid">
        <fgColor rgb="FF747474"/>
        <bgColor rgb="FF747474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n">
        <color rgb="FFB2B2B2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4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7" fillId="5" fontId="2" numFmtId="0" xfId="0" applyAlignment="1" applyBorder="1" applyFont="1">
      <alignment horizontal="center" vertical="center"/>
    </xf>
    <xf borderId="8" fillId="0" fontId="4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7" fillId="0" fontId="1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readingOrder="0" vertical="center"/>
    </xf>
    <xf quotePrefix="1" borderId="4" fillId="0" fontId="5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vertical="center"/>
    </xf>
    <xf borderId="12" fillId="3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4" fontId="10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16" fillId="4" fontId="11" numFmtId="0" xfId="0" applyAlignment="1" applyBorder="1" applyFont="1">
      <alignment horizontal="center" shrinkToFit="0" vertical="center" wrapText="1"/>
    </xf>
    <xf borderId="17" fillId="4" fontId="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18" fillId="6" fontId="13" numFmtId="0" xfId="0" applyAlignment="1" applyBorder="1" applyFill="1" applyFont="1">
      <alignment shrinkToFit="0" vertical="center" wrapText="1"/>
    </xf>
    <xf borderId="6" fillId="7" fontId="13" numFmtId="0" xfId="0" applyAlignment="1" applyBorder="1" applyFill="1" applyFont="1">
      <alignment horizontal="center" shrinkToFit="0" vertical="center" wrapText="1"/>
    </xf>
    <xf borderId="19" fillId="7" fontId="13" numFmtId="0" xfId="0" applyAlignment="1" applyBorder="1" applyFont="1">
      <alignment horizontal="center" shrinkToFit="0" vertical="center" wrapText="1"/>
    </xf>
    <xf borderId="20" fillId="7" fontId="13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vertical="center"/>
    </xf>
    <xf borderId="18" fillId="7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22" fillId="0" fontId="4" numFmtId="0" xfId="0" applyAlignment="1" applyBorder="1" applyFont="1">
      <alignment vertical="center"/>
    </xf>
    <xf borderId="23" fillId="7" fontId="15" numFmtId="0" xfId="0" applyAlignment="1" applyBorder="1" applyFont="1">
      <alignment horizontal="center" vertical="center"/>
    </xf>
    <xf borderId="24" fillId="5" fontId="15" numFmtId="0" xfId="0" applyAlignment="1" applyBorder="1" applyFont="1">
      <alignment horizontal="center" shrinkToFit="0" vertical="center" wrapText="1"/>
    </xf>
    <xf borderId="25" fillId="5" fontId="15" numFmtId="0" xfId="0" applyAlignment="1" applyBorder="1" applyFont="1">
      <alignment shrinkToFit="0" vertical="center" wrapText="1"/>
    </xf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8" fillId="5" fontId="15" numFmtId="0" xfId="0" applyAlignment="1" applyBorder="1" applyFont="1">
      <alignment vertical="center"/>
    </xf>
    <xf borderId="17" fillId="7" fontId="14" numFmtId="0" xfId="0" applyAlignment="1" applyBorder="1" applyFont="1">
      <alignment horizontal="center" shrinkToFit="0" vertical="center" wrapText="1"/>
    </xf>
    <xf borderId="29" fillId="7" fontId="14" numFmtId="0" xfId="0" applyAlignment="1" applyBorder="1" applyFont="1">
      <alignment horizontal="center" shrinkToFit="0" vertical="center" wrapText="1"/>
    </xf>
    <xf borderId="30" fillId="7" fontId="14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24" fillId="5" fontId="15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5" numFmtId="0" xfId="0" applyAlignment="1" applyFont="1">
      <alignment vertical="bottom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shrinkToFit="0" vertical="center" wrapText="1"/>
    </xf>
    <xf quotePrefix="1" borderId="0" fillId="0" fontId="15" numFmtId="0" xfId="0" applyAlignment="1" applyFont="1">
      <alignment shrinkToFit="0" vertical="center" wrapText="1"/>
    </xf>
    <xf borderId="18" fillId="6" fontId="13" numFmtId="0" xfId="0" applyAlignment="1" applyBorder="1" applyFont="1">
      <alignment horizontal="center" shrinkToFit="0" vertical="center" wrapText="1"/>
    </xf>
    <xf borderId="29" fillId="7" fontId="13" numFmtId="0" xfId="0" applyAlignment="1" applyBorder="1" applyFont="1">
      <alignment horizontal="center" shrinkToFit="0" vertical="center" wrapText="1"/>
    </xf>
    <xf borderId="30" fillId="7" fontId="13" numFmtId="0" xfId="0" applyAlignment="1" applyBorder="1" applyFont="1">
      <alignment horizontal="center" shrinkToFit="0" vertical="center" wrapText="1"/>
    </xf>
    <xf borderId="31" fillId="7" fontId="14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31" fillId="8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center"/>
    </xf>
    <xf borderId="0" fillId="0" fontId="22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shrinkToFit="0" vertical="center" wrapText="1"/>
    </xf>
    <xf borderId="32" fillId="9" fontId="25" numFmtId="0" xfId="0" applyAlignment="1" applyBorder="1" applyFill="1" applyFont="1">
      <alignment horizontal="center" shrinkToFit="0" vertical="center" wrapText="1"/>
    </xf>
    <xf borderId="33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31" fillId="9" fontId="26" numFmtId="0" xfId="0" applyAlignment="1" applyBorder="1" applyFont="1">
      <alignment horizontal="center" shrinkToFit="0" vertical="center" wrapText="1"/>
    </xf>
    <xf borderId="31" fillId="7" fontId="26" numFmtId="0" xfId="0" applyAlignment="1" applyBorder="1" applyFont="1">
      <alignment shrinkToFit="0" vertical="center" wrapText="1"/>
    </xf>
    <xf borderId="31" fillId="5" fontId="23" numFmtId="0" xfId="0" applyAlignment="1" applyBorder="1" applyFont="1">
      <alignment horizontal="center" shrinkToFit="0" vertical="center" wrapText="1"/>
    </xf>
    <xf borderId="32" fillId="5" fontId="23" numFmtId="0" xfId="0" applyAlignment="1" applyBorder="1" applyFont="1">
      <alignment horizontal="left" shrinkToFit="0" vertical="center" wrapText="1"/>
    </xf>
    <xf borderId="31" fillId="7" fontId="26" numFmtId="0" xfId="0" applyAlignment="1" applyBorder="1" applyFont="1">
      <alignment horizontal="center" shrinkToFit="0" vertical="center" wrapText="1"/>
    </xf>
    <xf borderId="31" fillId="7" fontId="26" numFmtId="0" xfId="0" applyAlignment="1" applyBorder="1" applyFont="1">
      <alignment horizontal="left" shrinkToFit="0" vertical="center" wrapText="1"/>
    </xf>
    <xf borderId="18" fillId="7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shrinkToFit="0" vertical="center" wrapText="1"/>
    </xf>
    <xf borderId="0" fillId="0" fontId="23" numFmtId="0" xfId="0" applyAlignment="1" applyFont="1">
      <alignment horizontal="left" vertical="center"/>
    </xf>
    <xf borderId="35" fillId="0" fontId="23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32" fillId="9" fontId="29" numFmtId="0" xfId="0" applyAlignment="1" applyBorder="1" applyFont="1">
      <alignment horizontal="center" shrinkToFit="0" vertical="center" wrapText="1"/>
    </xf>
    <xf borderId="31" fillId="9" fontId="29" numFmtId="0" xfId="0" applyAlignment="1" applyBorder="1" applyFont="1">
      <alignment horizontal="center" shrinkToFit="0" vertical="center" wrapText="1"/>
    </xf>
    <xf borderId="31" fillId="5" fontId="23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vertical="center"/>
    </xf>
    <xf borderId="31" fillId="5" fontId="23" numFmtId="0" xfId="0" applyAlignment="1" applyBorder="1" applyFont="1">
      <alignment horizontal="left" vertical="center"/>
    </xf>
    <xf borderId="31" fillId="7" fontId="30" numFmtId="0" xfId="0" applyAlignment="1" applyBorder="1" applyFont="1">
      <alignment horizontal="center" vertical="center"/>
    </xf>
    <xf borderId="0" fillId="0" fontId="27" numFmtId="0" xfId="0" applyAlignment="1" applyFont="1">
      <alignment horizontal="left" shrinkToFit="0" vertical="center" wrapText="1"/>
    </xf>
    <xf borderId="0" fillId="0" fontId="23" numFmtId="0" xfId="0" applyAlignment="1" applyFont="1">
      <alignment vertical="center"/>
    </xf>
    <xf borderId="0" fillId="0" fontId="31" numFmtId="0" xfId="0" applyAlignment="1" applyFont="1">
      <alignment vertical="center"/>
    </xf>
    <xf quotePrefix="1" borderId="0" fillId="0" fontId="23" numFmtId="0" xfId="0" applyAlignment="1" applyFont="1">
      <alignment horizontal="center" shrinkToFit="0" vertical="center" wrapText="1"/>
    </xf>
    <xf quotePrefix="1" borderId="0" fillId="0" fontId="23" numFmtId="0" xfId="0" applyAlignment="1" applyFont="1">
      <alignment shrinkToFit="0" vertical="center" wrapText="1"/>
    </xf>
    <xf borderId="36" fillId="7" fontId="32" numFmtId="0" xfId="0" applyAlignment="1" applyBorder="1" applyFont="1">
      <alignment horizontal="center" shrinkToFit="0" vertical="center" wrapText="1"/>
    </xf>
    <xf borderId="31" fillId="7" fontId="32" numFmtId="0" xfId="0" applyAlignment="1" applyBorder="1" applyFont="1">
      <alignment horizontal="center" shrinkToFit="0" vertical="center" wrapText="1"/>
    </xf>
    <xf borderId="37" fillId="7" fontId="3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33" numFmtId="0" xfId="0" applyAlignment="1" applyFont="1">
      <alignment vertical="center"/>
    </xf>
    <xf borderId="31" fillId="10" fontId="23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'&#51025;&#45824;&#45236;&#50857;%20_%20&#52280;&#51312;'!A4" TargetMode="External"/><Relationship Id="rId2" Type="http://schemas.openxmlformats.org/officeDocument/2006/relationships/hyperlink" Target="#'&#51025;&#45824;&#45236;&#50857;%20_%20&#52280;&#51312;'!A9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'&#51025;&#45824;&#54408;&#51656;%20_%20&#52280;&#51312;'!A4" TargetMode="External"/><Relationship Id="rId2" Type="http://schemas.openxmlformats.org/officeDocument/2006/relationships/hyperlink" Target="#'&#51025;&#45824;&#54408;&#51656;%20_%20&#52280;&#51312;'!A6" TargetMode="External"/><Relationship Id="rId3" Type="http://schemas.openxmlformats.org/officeDocument/2006/relationships/hyperlink" Target="#'&#51025;&#45824;&#54408;&#51656;%20_%20&#52280;&#51312;'!A15" TargetMode="External"/><Relationship Id="rId4" Type="http://schemas.openxmlformats.org/officeDocument/2006/relationships/hyperlink" Target="#'&#51025;&#45824;&#54408;&#51656;%20_%20&#52280;&#51312;'!A23" TargetMode="External"/><Relationship Id="rId5" Type="http://schemas.openxmlformats.org/officeDocument/2006/relationships/hyperlink" Target="#'&#51025;&#45824;&#54408;&#51656;%20_%20&#52280;&#51312;'!A23" TargetMode="External"/><Relationship Id="rId6" Type="http://schemas.openxmlformats.org/officeDocument/2006/relationships/hyperlink" Target="#'&#51025;&#45824;&#54408;&#51656;%20_%20&#52280;&#51312;'!A40" TargetMode="External"/><Relationship Id="rId7" Type="http://schemas.openxmlformats.org/officeDocument/2006/relationships/hyperlink" Target="#'&#51025;&#45824;&#54408;&#51656;%20_%20&#52280;&#51312;'!A8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3038475</xdr:colOff>
      <xdr:row>24</xdr:row>
      <xdr:rowOff>0</xdr:rowOff>
    </xdr:from>
    <xdr:ext cx="676275" cy="361950"/>
    <xdr:sp>
      <xdr:nvSpPr>
        <xdr:cNvPr id="3" name="Shape 3">
          <a:hlinkClick r:id="rId1"/>
        </xdr:cNvPr>
        <xdr:cNvSpPr/>
      </xdr:nvSpPr>
      <xdr:spPr>
        <a:xfrm>
          <a:off x="5012625" y="3603788"/>
          <a:ext cx="666750" cy="35242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1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3028950</xdr:colOff>
      <xdr:row>26</xdr:row>
      <xdr:rowOff>0</xdr:rowOff>
    </xdr:from>
    <xdr:ext cx="666750" cy="371475"/>
    <xdr:sp>
      <xdr:nvSpPr>
        <xdr:cNvPr id="4" name="Shape 4">
          <a:hlinkClick r:id="rId2"/>
        </xdr:cNvPr>
        <xdr:cNvSpPr/>
      </xdr:nvSpPr>
      <xdr:spPr>
        <a:xfrm>
          <a:off x="5017388" y="3599025"/>
          <a:ext cx="657225" cy="361950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2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1933575</xdr:colOff>
      <xdr:row>11</xdr:row>
      <xdr:rowOff>0</xdr:rowOff>
    </xdr:from>
    <xdr:ext cx="342900" cy="390525"/>
    <xdr:sp>
      <xdr:nvSpPr>
        <xdr:cNvPr id="5" name="Shape 5">
          <a:hlinkClick r:id="rId1"/>
        </xdr:cNvPr>
        <xdr:cNvSpPr/>
      </xdr:nvSpPr>
      <xdr:spPr>
        <a:xfrm>
          <a:off x="5179313" y="3589500"/>
          <a:ext cx="333375" cy="381000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1 </a:t>
          </a:r>
          <a:endParaRPr sz="1400"/>
        </a:p>
      </xdr:txBody>
    </xdr:sp>
    <xdr:clientData fLocksWithSheet="0"/>
  </xdr:oneCellAnchor>
  <xdr:oneCellAnchor>
    <xdr:from>
      <xdr:col>7</xdr:col>
      <xdr:colOff>3771900</xdr:colOff>
      <xdr:row>21</xdr:row>
      <xdr:rowOff>0</xdr:rowOff>
    </xdr:from>
    <xdr:ext cx="666750" cy="342900"/>
    <xdr:sp>
      <xdr:nvSpPr>
        <xdr:cNvPr id="6" name="Shape 6">
          <a:hlinkClick r:id="rId2"/>
        </xdr:cNvPr>
        <xdr:cNvSpPr/>
      </xdr:nvSpPr>
      <xdr:spPr>
        <a:xfrm>
          <a:off x="5017388" y="3613313"/>
          <a:ext cx="657225" cy="33337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2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3771900</xdr:colOff>
      <xdr:row>23</xdr:row>
      <xdr:rowOff>0</xdr:rowOff>
    </xdr:from>
    <xdr:ext cx="666750" cy="361950"/>
    <xdr:sp>
      <xdr:nvSpPr>
        <xdr:cNvPr id="7" name="Shape 7">
          <a:hlinkClick r:id="rId3"/>
        </xdr:cNvPr>
        <xdr:cNvSpPr/>
      </xdr:nvSpPr>
      <xdr:spPr>
        <a:xfrm>
          <a:off x="5017388" y="3603788"/>
          <a:ext cx="657225" cy="35242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3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3771900</xdr:colOff>
      <xdr:row>34</xdr:row>
      <xdr:rowOff>0</xdr:rowOff>
    </xdr:from>
    <xdr:ext cx="666750" cy="361950"/>
    <xdr:sp>
      <xdr:nvSpPr>
        <xdr:cNvPr id="8" name="Shape 8">
          <a:hlinkClick r:id="rId4"/>
        </xdr:cNvPr>
        <xdr:cNvSpPr/>
      </xdr:nvSpPr>
      <xdr:spPr>
        <a:xfrm>
          <a:off x="5017388" y="3603788"/>
          <a:ext cx="657225" cy="35242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3781425</xdr:colOff>
      <xdr:row>42</xdr:row>
      <xdr:rowOff>0</xdr:rowOff>
    </xdr:from>
    <xdr:ext cx="666750" cy="361950"/>
    <xdr:sp>
      <xdr:nvSpPr>
        <xdr:cNvPr id="9" name="Shape 9">
          <a:hlinkClick r:id="rId5"/>
        </xdr:cNvPr>
        <xdr:cNvSpPr/>
      </xdr:nvSpPr>
      <xdr:spPr>
        <a:xfrm>
          <a:off x="5017388" y="3603788"/>
          <a:ext cx="657225" cy="35242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3771900</xdr:colOff>
      <xdr:row>50</xdr:row>
      <xdr:rowOff>0</xdr:rowOff>
    </xdr:from>
    <xdr:ext cx="666750" cy="361950"/>
    <xdr:sp>
      <xdr:nvSpPr>
        <xdr:cNvPr id="10" name="Shape 10">
          <a:hlinkClick r:id="rId6"/>
        </xdr:cNvPr>
        <xdr:cNvSpPr/>
      </xdr:nvSpPr>
      <xdr:spPr>
        <a:xfrm>
          <a:off x="5017388" y="3603788"/>
          <a:ext cx="657225" cy="35242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6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3771900</xdr:colOff>
      <xdr:row>56</xdr:row>
      <xdr:rowOff>0</xdr:rowOff>
    </xdr:from>
    <xdr:ext cx="666750" cy="361950"/>
    <xdr:sp>
      <xdr:nvSpPr>
        <xdr:cNvPr id="11" name="Shape 11">
          <a:hlinkClick r:id="rId7"/>
        </xdr:cNvPr>
        <xdr:cNvSpPr/>
      </xdr:nvSpPr>
      <xdr:spPr>
        <a:xfrm>
          <a:off x="5017388" y="3603788"/>
          <a:ext cx="657225" cy="352425"/>
        </a:xfrm>
        <a:prstGeom prst="flowChartDocument">
          <a:avLst/>
        </a:prstGeom>
        <a:noFill/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참조 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2.63" defaultRowHeight="15.0"/>
  <cols>
    <col customWidth="1" min="1" max="2" width="1.63"/>
    <col customWidth="1" min="3" max="3" width="7.75"/>
    <col customWidth="1" min="4" max="4" width="3.25"/>
    <col customWidth="1" min="5" max="5" width="8.13"/>
    <col customWidth="1" min="6" max="6" width="23.13"/>
    <col customWidth="1" min="7" max="7" width="22.88"/>
    <col customWidth="1" min="8" max="8" width="5.25"/>
    <col customWidth="1" min="9" max="11" width="5.5"/>
    <col customWidth="1" min="12" max="14" width="6.13"/>
    <col customWidth="1" min="15" max="17" width="5.88"/>
    <col customWidth="1" min="18" max="18" width="20.25"/>
    <col customWidth="1" min="19" max="19" width="18.25"/>
    <col customWidth="1" min="20" max="20" width="5.88"/>
    <col customWidth="1" min="21" max="21" width="9.75"/>
  </cols>
  <sheetData>
    <row r="1" ht="5.25" customHeight="1">
      <c r="A1" s="1"/>
      <c r="B1" s="1"/>
      <c r="C1" s="1"/>
      <c r="D1" s="2"/>
      <c r="E1" s="1"/>
      <c r="F1" s="1"/>
      <c r="G1" s="1"/>
      <c r="H1" s="2"/>
      <c r="I1" s="2"/>
      <c r="J1" s="2"/>
      <c r="K1" s="2"/>
      <c r="L1" s="1"/>
      <c r="M1" s="1"/>
      <c r="N1" s="1"/>
      <c r="O1" s="3"/>
      <c r="P1" s="3"/>
      <c r="Q1" s="3"/>
      <c r="R1" s="4"/>
      <c r="S1" s="5"/>
      <c r="T1" s="3"/>
      <c r="U1" s="3"/>
    </row>
    <row r="2" ht="33.0" customHeight="1">
      <c r="A2" s="1"/>
      <c r="B2" s="1"/>
      <c r="C2" s="6" t="s">
        <v>0</v>
      </c>
      <c r="D2" s="7"/>
      <c r="E2" s="7"/>
      <c r="F2" s="7"/>
      <c r="G2" s="8"/>
      <c r="H2" s="9"/>
      <c r="I2" s="6" t="s">
        <v>1</v>
      </c>
      <c r="J2" s="7"/>
      <c r="K2" s="8"/>
      <c r="L2" s="6" t="s">
        <v>2</v>
      </c>
      <c r="M2" s="7"/>
      <c r="N2" s="8"/>
      <c r="O2" s="10" t="s">
        <v>3</v>
      </c>
      <c r="P2" s="7"/>
      <c r="Q2" s="11"/>
      <c r="R2" s="12" t="s">
        <v>4</v>
      </c>
      <c r="S2" s="13" t="s">
        <v>5</v>
      </c>
      <c r="T2" s="3"/>
      <c r="U2" s="3"/>
    </row>
    <row r="3" ht="24.0" customHeight="1">
      <c r="A3" s="14"/>
      <c r="B3" s="14"/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7" t="s">
        <v>15</v>
      </c>
      <c r="M3" s="17" t="s">
        <v>16</v>
      </c>
      <c r="N3" s="17" t="s">
        <v>17</v>
      </c>
      <c r="O3" s="16" t="s">
        <v>12</v>
      </c>
      <c r="P3" s="16" t="s">
        <v>13</v>
      </c>
      <c r="Q3" s="18" t="s">
        <v>14</v>
      </c>
      <c r="R3" s="19" t="s">
        <v>18</v>
      </c>
      <c r="S3" s="20" t="s">
        <v>19</v>
      </c>
      <c r="T3" s="3"/>
      <c r="U3" s="3"/>
    </row>
    <row r="4" ht="15.0" customHeight="1">
      <c r="A4" s="14"/>
      <c r="B4" s="14"/>
      <c r="C4" s="21">
        <f>COUNTA(C6:C27)</f>
        <v>2</v>
      </c>
      <c r="D4" s="22"/>
      <c r="E4" s="21">
        <f t="shared" ref="E4:F4" si="1">COUNTA(E6:E27)</f>
        <v>10</v>
      </c>
      <c r="F4" s="21">
        <f t="shared" si="1"/>
        <v>22</v>
      </c>
      <c r="G4" s="22"/>
      <c r="H4" s="22">
        <f>SUM(H6:H27)</f>
        <v>100</v>
      </c>
      <c r="I4" s="15">
        <f t="shared" ref="I4:J4" si="2">COUNTA(I6:I27)</f>
        <v>9</v>
      </c>
      <c r="J4" s="15">
        <f t="shared" si="2"/>
        <v>10</v>
      </c>
      <c r="K4" s="23" t="s">
        <v>20</v>
      </c>
      <c r="L4" s="17">
        <f t="shared" ref="L4:N4" si="3">COUNTIF(L$6:L$27, "o")</f>
        <v>21</v>
      </c>
      <c r="M4" s="17">
        <f t="shared" si="3"/>
        <v>17</v>
      </c>
      <c r="N4" s="17">
        <f t="shared" si="3"/>
        <v>12</v>
      </c>
      <c r="O4" s="15">
        <f t="shared" ref="O4:R4" si="4">COUNTA(O6:O27)</f>
        <v>9</v>
      </c>
      <c r="P4" s="15">
        <f t="shared" si="4"/>
        <v>10</v>
      </c>
      <c r="Q4" s="24">
        <f t="shared" si="4"/>
        <v>3</v>
      </c>
      <c r="R4" s="22">
        <f t="shared" si="4"/>
        <v>5</v>
      </c>
      <c r="S4" s="25">
        <f>counta(S6:S31)</f>
        <v>6</v>
      </c>
      <c r="T4" s="3"/>
      <c r="U4" s="3"/>
    </row>
    <row r="5" ht="15.0" customHeight="1">
      <c r="A5" s="14"/>
      <c r="B5" s="14"/>
      <c r="C5" s="26"/>
      <c r="D5" s="26"/>
      <c r="E5" s="26"/>
      <c r="F5" s="26"/>
      <c r="G5" s="26"/>
      <c r="H5" s="26"/>
      <c r="I5" s="16">
        <f t="shared" ref="I5:K5" si="5">SUMIFS($H6:$H27,I6:I27,"Y")</f>
        <v>45</v>
      </c>
      <c r="J5" s="16">
        <f t="shared" si="5"/>
        <v>55</v>
      </c>
      <c r="K5" s="16">
        <f t="shared" si="5"/>
        <v>0</v>
      </c>
      <c r="L5" s="17"/>
      <c r="M5" s="17"/>
      <c r="N5" s="17"/>
      <c r="O5" s="16">
        <f t="shared" ref="O5:Q5" si="6">SUMIFS($H6:$H27,O6:O27,"Y")</f>
        <v>44</v>
      </c>
      <c r="P5" s="16">
        <f t="shared" si="6"/>
        <v>56</v>
      </c>
      <c r="Q5" s="18">
        <f t="shared" si="6"/>
        <v>0</v>
      </c>
      <c r="R5" s="26"/>
      <c r="S5" s="26"/>
      <c r="T5" s="3"/>
      <c r="U5" s="3"/>
    </row>
    <row r="6" ht="33.0" customHeight="1">
      <c r="A6" s="27"/>
      <c r="B6" s="27"/>
      <c r="C6" s="28" t="s">
        <v>21</v>
      </c>
      <c r="D6" s="15">
        <v>1.0</v>
      </c>
      <c r="E6" s="29" t="s">
        <v>22</v>
      </c>
      <c r="F6" s="29" t="s">
        <v>23</v>
      </c>
      <c r="G6" s="29" t="s">
        <v>24</v>
      </c>
      <c r="H6" s="30">
        <v>6.0</v>
      </c>
      <c r="I6" s="31" t="s">
        <v>25</v>
      </c>
      <c r="J6" s="31"/>
      <c r="K6" s="31"/>
      <c r="L6" s="32" t="s">
        <v>26</v>
      </c>
      <c r="M6" s="32" t="s">
        <v>26</v>
      </c>
      <c r="N6" s="32" t="s">
        <v>26</v>
      </c>
      <c r="O6" s="31" t="s">
        <v>25</v>
      </c>
      <c r="P6" s="31"/>
      <c r="Q6" s="33"/>
      <c r="R6" s="34"/>
      <c r="S6" s="35"/>
      <c r="T6" s="3"/>
      <c r="U6" s="3"/>
    </row>
    <row r="7" ht="33.0" customHeight="1">
      <c r="A7" s="27"/>
      <c r="B7" s="27"/>
      <c r="C7" s="36"/>
      <c r="D7" s="21">
        <v>2.0</v>
      </c>
      <c r="E7" s="37" t="s">
        <v>27</v>
      </c>
      <c r="F7" s="29" t="s">
        <v>28</v>
      </c>
      <c r="G7" s="38" t="s">
        <v>29</v>
      </c>
      <c r="H7" s="30">
        <v>6.0</v>
      </c>
      <c r="I7" s="31" t="s">
        <v>25</v>
      </c>
      <c r="J7" s="31"/>
      <c r="K7" s="31"/>
      <c r="L7" s="32" t="s">
        <v>26</v>
      </c>
      <c r="M7" s="32" t="s">
        <v>26</v>
      </c>
      <c r="N7" s="32" t="s">
        <v>30</v>
      </c>
      <c r="O7" s="31" t="s">
        <v>25</v>
      </c>
      <c r="P7" s="31"/>
      <c r="Q7" s="33"/>
      <c r="R7" s="34"/>
      <c r="S7" s="35"/>
      <c r="T7" s="3"/>
      <c r="U7" s="3"/>
    </row>
    <row r="8" ht="33.0" customHeight="1">
      <c r="A8" s="27"/>
      <c r="B8" s="27"/>
      <c r="C8" s="36"/>
      <c r="D8" s="26"/>
      <c r="E8" s="26"/>
      <c r="F8" s="29" t="s">
        <v>31</v>
      </c>
      <c r="G8" s="38" t="s">
        <v>32</v>
      </c>
      <c r="H8" s="30">
        <v>6.0</v>
      </c>
      <c r="I8" s="31" t="s">
        <v>25</v>
      </c>
      <c r="J8" s="31"/>
      <c r="K8" s="31"/>
      <c r="L8" s="32" t="s">
        <v>26</v>
      </c>
      <c r="M8" s="32" t="s">
        <v>26</v>
      </c>
      <c r="N8" s="32" t="s">
        <v>26</v>
      </c>
      <c r="O8" s="31" t="s">
        <v>25</v>
      </c>
      <c r="P8" s="31"/>
      <c r="Q8" s="33"/>
      <c r="R8" s="30" t="s">
        <v>33</v>
      </c>
      <c r="S8" s="35"/>
      <c r="T8" s="3"/>
      <c r="U8" s="3"/>
    </row>
    <row r="9" ht="33.0" customHeight="1">
      <c r="A9" s="27"/>
      <c r="B9" s="27"/>
      <c r="C9" s="36"/>
      <c r="D9" s="15">
        <v>3.0</v>
      </c>
      <c r="E9" s="38" t="s">
        <v>34</v>
      </c>
      <c r="F9" s="38" t="s">
        <v>35</v>
      </c>
      <c r="G9" s="38" t="s">
        <v>36</v>
      </c>
      <c r="H9" s="30">
        <v>5.0</v>
      </c>
      <c r="I9" s="32"/>
      <c r="J9" s="31" t="s">
        <v>25</v>
      </c>
      <c r="K9" s="31"/>
      <c r="L9" s="32" t="s">
        <v>26</v>
      </c>
      <c r="M9" s="32" t="s">
        <v>26</v>
      </c>
      <c r="N9" s="32" t="s">
        <v>26</v>
      </c>
      <c r="O9" s="32"/>
      <c r="P9" s="31" t="s">
        <v>25</v>
      </c>
      <c r="Q9" s="33"/>
      <c r="R9" s="34"/>
      <c r="S9" s="35"/>
      <c r="T9" s="3"/>
      <c r="U9" s="3"/>
    </row>
    <row r="10" ht="33.0" customHeight="1">
      <c r="A10" s="27"/>
      <c r="B10" s="27"/>
      <c r="C10" s="36"/>
      <c r="D10" s="15">
        <v>4.0</v>
      </c>
      <c r="E10" s="38" t="s">
        <v>37</v>
      </c>
      <c r="F10" s="38" t="s">
        <v>38</v>
      </c>
      <c r="G10" s="38" t="s">
        <v>39</v>
      </c>
      <c r="H10" s="30">
        <v>6.0</v>
      </c>
      <c r="I10" s="31" t="s">
        <v>25</v>
      </c>
      <c r="J10" s="31"/>
      <c r="K10" s="31"/>
      <c r="L10" s="32" t="s">
        <v>26</v>
      </c>
      <c r="M10" s="32" t="s">
        <v>30</v>
      </c>
      <c r="N10" s="32" t="s">
        <v>30</v>
      </c>
      <c r="O10" s="31" t="s">
        <v>25</v>
      </c>
      <c r="P10" s="31"/>
      <c r="Q10" s="33"/>
      <c r="R10" s="34"/>
      <c r="S10" s="35"/>
      <c r="T10" s="3"/>
      <c r="U10" s="3"/>
    </row>
    <row r="11" ht="33.0" customHeight="1">
      <c r="A11" s="27"/>
      <c r="B11" s="27"/>
      <c r="C11" s="36"/>
      <c r="D11" s="15">
        <v>5.0</v>
      </c>
      <c r="E11" s="38" t="s">
        <v>40</v>
      </c>
      <c r="F11" s="38" t="s">
        <v>41</v>
      </c>
      <c r="G11" s="29" t="s">
        <v>42</v>
      </c>
      <c r="H11" s="30">
        <v>5.0</v>
      </c>
      <c r="I11" s="31" t="s">
        <v>25</v>
      </c>
      <c r="J11" s="31"/>
      <c r="K11" s="31"/>
      <c r="L11" s="32" t="s">
        <v>26</v>
      </c>
      <c r="M11" s="32" t="s">
        <v>26</v>
      </c>
      <c r="N11" s="32" t="s">
        <v>30</v>
      </c>
      <c r="O11" s="31" t="s">
        <v>25</v>
      </c>
      <c r="P11" s="31"/>
      <c r="Q11" s="33"/>
      <c r="R11" s="34"/>
      <c r="S11" s="35"/>
      <c r="T11" s="3"/>
      <c r="U11" s="3"/>
    </row>
    <row r="12" ht="33.0" customHeight="1">
      <c r="A12" s="27"/>
      <c r="B12" s="27"/>
      <c r="C12" s="36"/>
      <c r="D12" s="21">
        <v>6.0</v>
      </c>
      <c r="E12" s="39" t="s">
        <v>43</v>
      </c>
      <c r="F12" s="38" t="s">
        <v>44</v>
      </c>
      <c r="G12" s="29" t="s">
        <v>45</v>
      </c>
      <c r="H12" s="30" t="s">
        <v>46</v>
      </c>
      <c r="I12" s="31" t="s">
        <v>25</v>
      </c>
      <c r="J12" s="31"/>
      <c r="K12" s="31"/>
      <c r="L12" s="32"/>
      <c r="M12" s="32"/>
      <c r="N12" s="32"/>
      <c r="O12" s="31" t="s">
        <v>25</v>
      </c>
      <c r="P12" s="31"/>
      <c r="Q12" s="33"/>
      <c r="R12" s="34"/>
      <c r="S12" s="35"/>
      <c r="T12" s="3"/>
      <c r="U12" s="3"/>
    </row>
    <row r="13" ht="33.0" customHeight="1">
      <c r="A13" s="27"/>
      <c r="B13" s="27"/>
      <c r="C13" s="36"/>
      <c r="D13" s="26"/>
      <c r="E13" s="26"/>
      <c r="F13" s="29" t="s">
        <v>47</v>
      </c>
      <c r="G13" s="29" t="s">
        <v>48</v>
      </c>
      <c r="H13" s="30" t="s">
        <v>46</v>
      </c>
      <c r="I13" s="31"/>
      <c r="J13" s="31"/>
      <c r="K13" s="31" t="s">
        <v>25</v>
      </c>
      <c r="L13" s="32" t="s">
        <v>26</v>
      </c>
      <c r="M13" s="32" t="s">
        <v>26</v>
      </c>
      <c r="N13" s="32" t="s">
        <v>26</v>
      </c>
      <c r="O13" s="31"/>
      <c r="P13" s="31"/>
      <c r="Q13" s="40" t="s">
        <v>25</v>
      </c>
      <c r="R13" s="30" t="s">
        <v>49</v>
      </c>
      <c r="S13" s="35"/>
      <c r="T13" s="3"/>
      <c r="U13" s="3"/>
    </row>
    <row r="14" ht="33.0" customHeight="1">
      <c r="A14" s="27"/>
      <c r="B14" s="27"/>
      <c r="C14" s="36"/>
      <c r="D14" s="21">
        <v>7.0</v>
      </c>
      <c r="E14" s="39" t="s">
        <v>50</v>
      </c>
      <c r="F14" s="38" t="s">
        <v>51</v>
      </c>
      <c r="G14" s="38" t="s">
        <v>52</v>
      </c>
      <c r="H14" s="41">
        <v>6.0</v>
      </c>
      <c r="I14" s="31" t="s">
        <v>25</v>
      </c>
      <c r="J14" s="31"/>
      <c r="K14" s="31"/>
      <c r="L14" s="32" t="s">
        <v>26</v>
      </c>
      <c r="M14" s="32" t="s">
        <v>26</v>
      </c>
      <c r="N14" s="32" t="s">
        <v>30</v>
      </c>
      <c r="O14" s="31"/>
      <c r="P14" s="30" t="s">
        <v>25</v>
      </c>
      <c r="Q14" s="33"/>
      <c r="R14" s="42" t="s">
        <v>53</v>
      </c>
      <c r="S14" s="43" t="s">
        <v>54</v>
      </c>
      <c r="T14" s="3"/>
      <c r="U14" s="3"/>
    </row>
    <row r="15" ht="33.0" customHeight="1">
      <c r="A15" s="27"/>
      <c r="B15" s="27"/>
      <c r="C15" s="36"/>
      <c r="D15" s="36"/>
      <c r="E15" s="36"/>
      <c r="F15" s="29" t="s">
        <v>55</v>
      </c>
      <c r="G15" s="29" t="s">
        <v>56</v>
      </c>
      <c r="H15" s="41">
        <v>6.0</v>
      </c>
      <c r="I15" s="31"/>
      <c r="J15" s="31" t="s">
        <v>25</v>
      </c>
      <c r="K15" s="31"/>
      <c r="L15" s="32" t="s">
        <v>26</v>
      </c>
      <c r="M15" s="32" t="s">
        <v>26</v>
      </c>
      <c r="N15" s="32" t="s">
        <v>26</v>
      </c>
      <c r="O15" s="31"/>
      <c r="P15" s="31" t="s">
        <v>25</v>
      </c>
      <c r="Q15" s="33"/>
      <c r="R15" s="42" t="s">
        <v>57</v>
      </c>
      <c r="S15" s="43" t="s">
        <v>54</v>
      </c>
      <c r="T15" s="3"/>
      <c r="U15" s="3"/>
    </row>
    <row r="16" ht="33.0" customHeight="1">
      <c r="A16" s="27"/>
      <c r="B16" s="27"/>
      <c r="C16" s="36"/>
      <c r="D16" s="36"/>
      <c r="E16" s="36"/>
      <c r="F16" s="29" t="s">
        <v>58</v>
      </c>
      <c r="G16" s="44" t="s">
        <v>59</v>
      </c>
      <c r="H16" s="30">
        <v>5.0</v>
      </c>
      <c r="I16" s="31"/>
      <c r="J16" s="31" t="s">
        <v>25</v>
      </c>
      <c r="K16" s="45"/>
      <c r="L16" s="32" t="s">
        <v>26</v>
      </c>
      <c r="M16" s="32" t="s">
        <v>26</v>
      </c>
      <c r="N16" s="32" t="s">
        <v>30</v>
      </c>
      <c r="O16" s="30" t="s">
        <v>25</v>
      </c>
      <c r="P16" s="31"/>
      <c r="Q16" s="46"/>
      <c r="R16" s="42" t="s">
        <v>53</v>
      </c>
      <c r="S16" s="47"/>
      <c r="T16" s="3"/>
      <c r="U16" s="3"/>
    </row>
    <row r="17" ht="33.0" customHeight="1">
      <c r="A17" s="27"/>
      <c r="B17" s="27"/>
      <c r="C17" s="36"/>
      <c r="D17" s="36"/>
      <c r="E17" s="36"/>
      <c r="F17" s="29" t="s">
        <v>60</v>
      </c>
      <c r="G17" s="29" t="s">
        <v>61</v>
      </c>
      <c r="H17" s="41">
        <v>6.0</v>
      </c>
      <c r="I17" s="31"/>
      <c r="J17" s="31" t="s">
        <v>25</v>
      </c>
      <c r="K17" s="31"/>
      <c r="L17" s="32" t="s">
        <v>26</v>
      </c>
      <c r="M17" s="32" t="s">
        <v>30</v>
      </c>
      <c r="N17" s="32" t="s">
        <v>30</v>
      </c>
      <c r="O17" s="31"/>
      <c r="P17" s="31" t="s">
        <v>25</v>
      </c>
      <c r="Q17" s="33"/>
      <c r="R17" s="34"/>
      <c r="S17" s="43" t="s">
        <v>54</v>
      </c>
      <c r="T17" s="3"/>
      <c r="U17" s="3"/>
    </row>
    <row r="18" ht="33.0" customHeight="1">
      <c r="A18" s="27"/>
      <c r="B18" s="27"/>
      <c r="C18" s="36"/>
      <c r="D18" s="36"/>
      <c r="E18" s="36"/>
      <c r="F18" s="29" t="s">
        <v>62</v>
      </c>
      <c r="G18" s="29" t="s">
        <v>63</v>
      </c>
      <c r="H18" s="41">
        <v>6.0</v>
      </c>
      <c r="I18" s="31"/>
      <c r="J18" s="31" t="s">
        <v>25</v>
      </c>
      <c r="K18" s="31"/>
      <c r="L18" s="32" t="s">
        <v>26</v>
      </c>
      <c r="M18" s="32" t="s">
        <v>26</v>
      </c>
      <c r="N18" s="32" t="s">
        <v>26</v>
      </c>
      <c r="O18" s="31"/>
      <c r="P18" s="31" t="s">
        <v>25</v>
      </c>
      <c r="Q18" s="33"/>
      <c r="R18" s="34"/>
      <c r="S18" s="43" t="s">
        <v>54</v>
      </c>
      <c r="T18" s="3"/>
      <c r="U18" s="3"/>
    </row>
    <row r="19" ht="33.0" customHeight="1">
      <c r="A19" s="27"/>
      <c r="B19" s="27"/>
      <c r="C19" s="36"/>
      <c r="D19" s="36"/>
      <c r="E19" s="36"/>
      <c r="F19" s="29" t="s">
        <v>64</v>
      </c>
      <c r="G19" s="29" t="s">
        <v>65</v>
      </c>
      <c r="H19" s="41">
        <v>6.0</v>
      </c>
      <c r="I19" s="31"/>
      <c r="J19" s="31" t="s">
        <v>25</v>
      </c>
      <c r="K19" s="31"/>
      <c r="L19" s="32" t="s">
        <v>26</v>
      </c>
      <c r="M19" s="32" t="s">
        <v>30</v>
      </c>
      <c r="N19" s="32" t="s">
        <v>30</v>
      </c>
      <c r="O19" s="31"/>
      <c r="P19" s="31" t="s">
        <v>25</v>
      </c>
      <c r="Q19" s="33"/>
      <c r="R19" s="34"/>
      <c r="S19" s="43" t="s">
        <v>54</v>
      </c>
      <c r="T19" s="3"/>
      <c r="U19" s="3"/>
    </row>
    <row r="20" ht="33.0" customHeight="1">
      <c r="A20" s="27"/>
      <c r="B20" s="27"/>
      <c r="C20" s="36"/>
      <c r="D20" s="36"/>
      <c r="E20" s="36"/>
      <c r="F20" s="29" t="s">
        <v>66</v>
      </c>
      <c r="G20" s="29" t="s">
        <v>67</v>
      </c>
      <c r="H20" s="30">
        <v>5.0</v>
      </c>
      <c r="I20" s="31" t="s">
        <v>25</v>
      </c>
      <c r="J20" s="31"/>
      <c r="K20" s="31"/>
      <c r="L20" s="32" t="s">
        <v>26</v>
      </c>
      <c r="M20" s="32" t="s">
        <v>26</v>
      </c>
      <c r="N20" s="32" t="s">
        <v>30</v>
      </c>
      <c r="O20" s="31" t="s">
        <v>25</v>
      </c>
      <c r="P20" s="31"/>
      <c r="Q20" s="33"/>
      <c r="R20" s="34"/>
      <c r="S20" s="35"/>
      <c r="T20" s="3"/>
      <c r="U20" s="3"/>
    </row>
    <row r="21" ht="33.0" customHeight="1">
      <c r="A21" s="27"/>
      <c r="B21" s="27"/>
      <c r="C21" s="26"/>
      <c r="D21" s="26"/>
      <c r="E21" s="26"/>
      <c r="F21" s="29" t="s">
        <v>68</v>
      </c>
      <c r="G21" s="29" t="s">
        <v>69</v>
      </c>
      <c r="H21" s="41">
        <v>0.0</v>
      </c>
      <c r="I21" s="31"/>
      <c r="J21" s="31"/>
      <c r="K21" s="31" t="s">
        <v>25</v>
      </c>
      <c r="L21" s="32" t="s">
        <v>26</v>
      </c>
      <c r="M21" s="32" t="s">
        <v>30</v>
      </c>
      <c r="N21" s="32" t="s">
        <v>30</v>
      </c>
      <c r="O21" s="31"/>
      <c r="P21" s="31"/>
      <c r="Q21" s="33" t="s">
        <v>25</v>
      </c>
      <c r="R21" s="34"/>
      <c r="S21" s="43" t="s">
        <v>70</v>
      </c>
      <c r="T21" s="3"/>
      <c r="U21" s="3"/>
    </row>
    <row r="22" ht="64.5" customHeight="1">
      <c r="A22" s="27"/>
      <c r="B22" s="27"/>
      <c r="C22" s="48" t="s">
        <v>71</v>
      </c>
      <c r="D22" s="49">
        <v>8.0</v>
      </c>
      <c r="E22" s="50" t="s">
        <v>72</v>
      </c>
      <c r="F22" s="51" t="s">
        <v>73</v>
      </c>
      <c r="G22" s="29" t="s">
        <v>74</v>
      </c>
      <c r="H22" s="30">
        <v>5.0</v>
      </c>
      <c r="I22" s="31" t="s">
        <v>25</v>
      </c>
      <c r="J22" s="31"/>
      <c r="K22" s="31"/>
      <c r="L22" s="32" t="s">
        <v>26</v>
      </c>
      <c r="M22" s="32" t="s">
        <v>26</v>
      </c>
      <c r="N22" s="32" t="s">
        <v>26</v>
      </c>
      <c r="O22" s="31" t="s">
        <v>25</v>
      </c>
      <c r="P22" s="31"/>
      <c r="Q22" s="33"/>
      <c r="R22" s="34"/>
      <c r="S22" s="35"/>
      <c r="T22" s="3"/>
      <c r="U22" s="3"/>
    </row>
    <row r="23" ht="33.0" customHeight="1">
      <c r="A23" s="27"/>
      <c r="B23" s="27"/>
      <c r="C23" s="36"/>
      <c r="D23" s="52"/>
      <c r="E23" s="26"/>
      <c r="F23" s="51" t="s">
        <v>75</v>
      </c>
      <c r="G23" s="29" t="s">
        <v>76</v>
      </c>
      <c r="H23" s="30" t="s">
        <v>77</v>
      </c>
      <c r="I23" s="31"/>
      <c r="J23" s="31"/>
      <c r="K23" s="31" t="s">
        <v>25</v>
      </c>
      <c r="L23" s="32" t="s">
        <v>26</v>
      </c>
      <c r="M23" s="32" t="s">
        <v>26</v>
      </c>
      <c r="N23" s="32" t="s">
        <v>26</v>
      </c>
      <c r="O23" s="31"/>
      <c r="P23" s="31"/>
      <c r="Q23" s="33" t="s">
        <v>25</v>
      </c>
      <c r="R23" s="34"/>
      <c r="S23" s="35"/>
      <c r="T23" s="3"/>
      <c r="U23" s="3"/>
    </row>
    <row r="24" ht="33.0" customHeight="1">
      <c r="A24" s="27"/>
      <c r="B24" s="27"/>
      <c r="C24" s="36"/>
      <c r="D24" s="15">
        <v>9.0</v>
      </c>
      <c r="E24" s="29" t="s">
        <v>78</v>
      </c>
      <c r="F24" s="29" t="s">
        <v>79</v>
      </c>
      <c r="G24" s="29" t="s">
        <v>80</v>
      </c>
      <c r="H24" s="30">
        <v>5.0</v>
      </c>
      <c r="I24" s="31"/>
      <c r="J24" s="31" t="s">
        <v>25</v>
      </c>
      <c r="K24" s="31"/>
      <c r="L24" s="32" t="s">
        <v>26</v>
      </c>
      <c r="M24" s="32" t="s">
        <v>26</v>
      </c>
      <c r="N24" s="32" t="s">
        <v>26</v>
      </c>
      <c r="O24" s="31"/>
      <c r="P24" s="31" t="s">
        <v>25</v>
      </c>
      <c r="Q24" s="33"/>
      <c r="R24" s="34"/>
      <c r="S24" s="35"/>
      <c r="T24" s="3"/>
      <c r="U24" s="3"/>
    </row>
    <row r="25" ht="33.0" customHeight="1">
      <c r="A25" s="27"/>
      <c r="B25" s="27"/>
      <c r="C25" s="36"/>
      <c r="D25" s="21">
        <v>10.0</v>
      </c>
      <c r="E25" s="39" t="s">
        <v>81</v>
      </c>
      <c r="F25" s="29" t="s">
        <v>82</v>
      </c>
      <c r="G25" s="29" t="s">
        <v>83</v>
      </c>
      <c r="H25" s="30">
        <v>5.0</v>
      </c>
      <c r="I25" s="31"/>
      <c r="J25" s="31" t="s">
        <v>25</v>
      </c>
      <c r="K25" s="31"/>
      <c r="L25" s="32" t="s">
        <v>26</v>
      </c>
      <c r="M25" s="32" t="s">
        <v>26</v>
      </c>
      <c r="N25" s="32" t="s">
        <v>26</v>
      </c>
      <c r="O25" s="31"/>
      <c r="P25" s="31" t="s">
        <v>25</v>
      </c>
      <c r="Q25" s="33"/>
      <c r="R25" s="34"/>
      <c r="S25" s="35"/>
      <c r="T25" s="3"/>
      <c r="U25" s="3"/>
    </row>
    <row r="26" ht="33.0" customHeight="1">
      <c r="A26" s="27"/>
      <c r="B26" s="27"/>
      <c r="C26" s="36"/>
      <c r="D26" s="36"/>
      <c r="E26" s="36"/>
      <c r="F26" s="29" t="s">
        <v>84</v>
      </c>
      <c r="G26" s="29" t="s">
        <v>85</v>
      </c>
      <c r="H26" s="30">
        <v>5.0</v>
      </c>
      <c r="I26" s="31"/>
      <c r="J26" s="31" t="s">
        <v>25</v>
      </c>
      <c r="K26" s="31"/>
      <c r="L26" s="32" t="s">
        <v>26</v>
      </c>
      <c r="M26" s="32" t="s">
        <v>26</v>
      </c>
      <c r="N26" s="32" t="s">
        <v>26</v>
      </c>
      <c r="O26" s="31"/>
      <c r="P26" s="31" t="s">
        <v>25</v>
      </c>
      <c r="Q26" s="33"/>
      <c r="R26" s="34"/>
      <c r="S26" s="35"/>
      <c r="T26" s="3"/>
      <c r="U26" s="3"/>
    </row>
    <row r="27" ht="33.0" customHeight="1">
      <c r="A27" s="27"/>
      <c r="B27" s="27"/>
      <c r="C27" s="26"/>
      <c r="D27" s="26"/>
      <c r="E27" s="26"/>
      <c r="F27" s="29" t="s">
        <v>86</v>
      </c>
      <c r="G27" s="39" t="s">
        <v>87</v>
      </c>
      <c r="H27" s="53">
        <v>6.0</v>
      </c>
      <c r="I27" s="54"/>
      <c r="J27" s="54" t="s">
        <v>25</v>
      </c>
      <c r="K27" s="54"/>
      <c r="L27" s="55" t="s">
        <v>26</v>
      </c>
      <c r="M27" s="55" t="s">
        <v>26</v>
      </c>
      <c r="N27" s="55" t="s">
        <v>26</v>
      </c>
      <c r="O27" s="54"/>
      <c r="P27" s="54" t="s">
        <v>25</v>
      </c>
      <c r="Q27" s="56"/>
      <c r="R27" s="34"/>
      <c r="S27" s="35"/>
      <c r="T27" s="3"/>
      <c r="U27" s="3"/>
    </row>
    <row r="28" ht="33.0" customHeight="1">
      <c r="A28" s="3"/>
      <c r="B28" s="3"/>
      <c r="C28" s="57"/>
      <c r="D28" s="58"/>
      <c r="E28" s="39" t="s">
        <v>88</v>
      </c>
      <c r="F28" s="59" t="s">
        <v>89</v>
      </c>
      <c r="G28" s="29" t="s">
        <v>90</v>
      </c>
      <c r="H28" s="60">
        <v>3.0</v>
      </c>
      <c r="I28" s="31" t="s">
        <v>25</v>
      </c>
      <c r="J28" s="31"/>
      <c r="K28" s="31"/>
      <c r="L28" s="55" t="s">
        <v>26</v>
      </c>
      <c r="M28" s="61"/>
      <c r="N28" s="61"/>
      <c r="O28" s="61"/>
      <c r="P28" s="61"/>
      <c r="Q28" s="61"/>
      <c r="R28" s="42" t="s">
        <v>91</v>
      </c>
      <c r="S28" s="35"/>
      <c r="T28" s="3"/>
      <c r="U28" s="3"/>
    </row>
    <row r="29" ht="33.0" customHeight="1">
      <c r="A29" s="3"/>
      <c r="B29" s="3"/>
      <c r="C29" s="57" t="s">
        <v>92</v>
      </c>
      <c r="D29" s="58">
        <v>11.0</v>
      </c>
      <c r="E29" s="36"/>
      <c r="F29" s="59" t="s">
        <v>93</v>
      </c>
      <c r="G29" s="29" t="s">
        <v>94</v>
      </c>
      <c r="H29" s="60">
        <v>5.0</v>
      </c>
      <c r="I29" s="31"/>
      <c r="J29" s="31" t="s">
        <v>25</v>
      </c>
      <c r="K29" s="31"/>
      <c r="L29" s="55" t="s">
        <v>26</v>
      </c>
      <c r="M29" s="61"/>
      <c r="N29" s="61"/>
      <c r="O29" s="61"/>
      <c r="P29" s="61"/>
      <c r="Q29" s="61"/>
      <c r="R29" s="42" t="s">
        <v>91</v>
      </c>
      <c r="S29" s="35"/>
      <c r="T29" s="3"/>
      <c r="U29" s="3"/>
    </row>
    <row r="30" ht="33.0" customHeight="1">
      <c r="A30" s="3"/>
      <c r="B30" s="3"/>
      <c r="C30" s="57"/>
      <c r="D30" s="58"/>
      <c r="E30" s="36"/>
      <c r="F30" s="59" t="s">
        <v>95</v>
      </c>
      <c r="G30" s="39" t="s">
        <v>96</v>
      </c>
      <c r="H30" s="60">
        <v>5.0</v>
      </c>
      <c r="I30" s="31"/>
      <c r="J30" s="31" t="s">
        <v>25</v>
      </c>
      <c r="K30" s="31"/>
      <c r="L30" s="55" t="s">
        <v>26</v>
      </c>
      <c r="M30" s="61"/>
      <c r="N30" s="61"/>
      <c r="O30" s="61"/>
      <c r="P30" s="61"/>
      <c r="Q30" s="61"/>
      <c r="R30" s="42" t="s">
        <v>91</v>
      </c>
      <c r="S30" s="35"/>
      <c r="T30" s="3"/>
      <c r="U30" s="3"/>
    </row>
    <row r="31" ht="33.0" customHeight="1">
      <c r="A31" s="3"/>
      <c r="B31" s="3"/>
      <c r="C31" s="62"/>
      <c r="D31" s="63"/>
      <c r="E31" s="26"/>
      <c r="F31" s="59" t="s">
        <v>97</v>
      </c>
      <c r="G31" s="29" t="s">
        <v>98</v>
      </c>
      <c r="H31" s="60">
        <v>2.0</v>
      </c>
      <c r="I31" s="31"/>
      <c r="J31" s="31" t="s">
        <v>25</v>
      </c>
      <c r="K31" s="31"/>
      <c r="L31" s="32" t="s">
        <v>26</v>
      </c>
      <c r="M31" s="61"/>
      <c r="N31" s="61"/>
      <c r="O31" s="61"/>
      <c r="P31" s="61"/>
      <c r="Q31" s="61"/>
      <c r="R31" s="42" t="s">
        <v>91</v>
      </c>
      <c r="S31" s="35"/>
      <c r="T31" s="3"/>
      <c r="U31" s="3"/>
    </row>
    <row r="32" ht="33.0" customHeight="1">
      <c r="A32" s="3"/>
      <c r="B32" s="3"/>
      <c r="C32" s="3"/>
      <c r="D32" s="3"/>
      <c r="E32" s="3"/>
      <c r="F32" s="3"/>
      <c r="G32" s="3"/>
      <c r="H32" s="5"/>
      <c r="I32" s="3"/>
      <c r="J32" s="3"/>
      <c r="K32" s="3"/>
      <c r="L32" s="3"/>
      <c r="M32" s="3"/>
      <c r="N32" s="3"/>
      <c r="O32" s="3"/>
      <c r="P32" s="3"/>
      <c r="Q32" s="3"/>
      <c r="R32" s="4"/>
      <c r="S32" s="5"/>
      <c r="T32" s="3"/>
      <c r="U32" s="3"/>
    </row>
    <row r="33" ht="33.0" customHeight="1">
      <c r="A33" s="3"/>
      <c r="B33" s="3"/>
      <c r="C33" s="3"/>
      <c r="D33" s="3"/>
      <c r="E33" s="3"/>
      <c r="F33" s="3"/>
      <c r="G33" s="3"/>
      <c r="H33" s="5"/>
      <c r="I33" s="3"/>
      <c r="J33" s="3"/>
      <c r="K33" s="3"/>
      <c r="L33" s="3"/>
      <c r="M33" s="3"/>
      <c r="N33" s="3"/>
      <c r="O33" s="3"/>
      <c r="P33" s="3"/>
      <c r="Q33" s="3"/>
      <c r="R33" s="4"/>
      <c r="S33" s="5"/>
      <c r="T33" s="3"/>
      <c r="U33" s="3"/>
    </row>
    <row r="34" ht="33.0" customHeight="1">
      <c r="A34" s="3"/>
      <c r="B34" s="3"/>
      <c r="C34" s="3"/>
      <c r="D34" s="3"/>
      <c r="E34" s="3"/>
      <c r="F34" s="3"/>
      <c r="G34" s="3"/>
      <c r="H34" s="5"/>
      <c r="I34" s="3"/>
      <c r="J34" s="3"/>
      <c r="K34" s="3"/>
      <c r="L34" s="3"/>
      <c r="M34" s="3"/>
      <c r="N34" s="3"/>
      <c r="O34" s="3"/>
      <c r="P34" s="3"/>
      <c r="Q34" s="3"/>
      <c r="R34" s="4"/>
      <c r="S34" s="5"/>
      <c r="T34" s="3"/>
      <c r="U34" s="3"/>
    </row>
    <row r="35" ht="33.0" customHeight="1">
      <c r="A35" s="3"/>
      <c r="B35" s="3"/>
      <c r="C35" s="3"/>
      <c r="D35" s="3"/>
      <c r="E35" s="3"/>
      <c r="F35" s="3"/>
      <c r="G35" s="3"/>
      <c r="H35" s="5"/>
      <c r="I35" s="3"/>
      <c r="J35" s="3"/>
      <c r="K35" s="3"/>
      <c r="L35" s="3"/>
      <c r="M35" s="3"/>
      <c r="N35" s="3"/>
      <c r="O35" s="3"/>
      <c r="P35" s="3"/>
      <c r="Q35" s="3"/>
      <c r="R35" s="4"/>
      <c r="S35" s="5"/>
      <c r="T35" s="3"/>
      <c r="U35" s="3"/>
    </row>
    <row r="36" ht="33.0" customHeight="1">
      <c r="A36" s="3"/>
      <c r="B36" s="3"/>
      <c r="C36" s="3"/>
      <c r="D36" s="3"/>
      <c r="E36" s="3"/>
      <c r="F36" s="3"/>
      <c r="G36" s="3"/>
      <c r="H36" s="5"/>
      <c r="I36" s="3"/>
      <c r="J36" s="3"/>
      <c r="K36" s="3"/>
      <c r="L36" s="3"/>
      <c r="M36" s="3"/>
      <c r="N36" s="3"/>
      <c r="O36" s="3"/>
      <c r="P36" s="3"/>
      <c r="Q36" s="3"/>
      <c r="R36" s="4"/>
      <c r="S36" s="5"/>
      <c r="T36" s="3"/>
      <c r="U36" s="3"/>
    </row>
    <row r="37" ht="33.0" customHeight="1">
      <c r="A37" s="3"/>
      <c r="B37" s="3"/>
      <c r="C37" s="3"/>
      <c r="D37" s="3"/>
      <c r="E37" s="3"/>
      <c r="F37" s="3"/>
      <c r="G37" s="3"/>
      <c r="H37" s="5"/>
      <c r="I37" s="3"/>
      <c r="J37" s="3"/>
      <c r="K37" s="3"/>
      <c r="L37" s="3"/>
      <c r="M37" s="3"/>
      <c r="N37" s="3"/>
      <c r="O37" s="3"/>
      <c r="P37" s="3"/>
      <c r="Q37" s="3"/>
      <c r="R37" s="4"/>
      <c r="S37" s="5"/>
      <c r="T37" s="3"/>
      <c r="U37" s="3"/>
    </row>
    <row r="38" ht="33.0" customHeight="1">
      <c r="A38" s="3"/>
      <c r="B38" s="3"/>
      <c r="C38" s="3"/>
      <c r="D38" s="3"/>
      <c r="E38" s="3"/>
      <c r="F38" s="3"/>
      <c r="G38" s="3"/>
      <c r="H38" s="5"/>
      <c r="I38" s="3"/>
      <c r="J38" s="3"/>
      <c r="K38" s="3"/>
      <c r="L38" s="3"/>
      <c r="M38" s="3"/>
      <c r="N38" s="3"/>
      <c r="O38" s="3"/>
      <c r="P38" s="3"/>
      <c r="Q38" s="3"/>
      <c r="R38" s="4"/>
      <c r="S38" s="5"/>
      <c r="T38" s="3"/>
      <c r="U38" s="3"/>
    </row>
    <row r="39" ht="33.0" customHeight="1">
      <c r="A39" s="3"/>
      <c r="B39" s="3"/>
      <c r="C39" s="3"/>
      <c r="D39" s="3"/>
      <c r="E39" s="3"/>
      <c r="F39" s="3"/>
      <c r="G39" s="3"/>
      <c r="H39" s="5"/>
      <c r="I39" s="3"/>
      <c r="J39" s="3"/>
      <c r="K39" s="3"/>
      <c r="L39" s="3"/>
      <c r="M39" s="3"/>
      <c r="N39" s="3"/>
      <c r="O39" s="3"/>
      <c r="P39" s="3"/>
      <c r="Q39" s="3"/>
      <c r="R39" s="4"/>
      <c r="S39" s="5"/>
      <c r="T39" s="3"/>
      <c r="U39" s="3"/>
    </row>
    <row r="40" ht="33.0" customHeight="1">
      <c r="A40" s="3"/>
      <c r="B40" s="3"/>
      <c r="C40" s="3"/>
      <c r="D40" s="3"/>
      <c r="E40" s="3"/>
      <c r="F40" s="3"/>
      <c r="G40" s="3"/>
      <c r="H40" s="5"/>
      <c r="I40" s="3"/>
      <c r="J40" s="3"/>
      <c r="K40" s="3"/>
      <c r="L40" s="3"/>
      <c r="M40" s="3"/>
      <c r="N40" s="3"/>
      <c r="O40" s="3"/>
      <c r="P40" s="3"/>
      <c r="Q40" s="3"/>
      <c r="R40" s="4"/>
      <c r="S40" s="5"/>
      <c r="T40" s="3"/>
      <c r="U40" s="3"/>
    </row>
    <row r="41" ht="33.0" customHeight="1">
      <c r="A41" s="3"/>
      <c r="B41" s="3"/>
      <c r="C41" s="3"/>
      <c r="D41" s="3"/>
      <c r="E41" s="3"/>
      <c r="F41" s="3"/>
      <c r="G41" s="3"/>
      <c r="H41" s="5"/>
      <c r="I41" s="3"/>
      <c r="J41" s="3"/>
      <c r="K41" s="3"/>
      <c r="L41" s="3"/>
      <c r="M41" s="3"/>
      <c r="N41" s="3"/>
      <c r="O41" s="3"/>
      <c r="P41" s="3"/>
      <c r="Q41" s="3"/>
      <c r="R41" s="4"/>
      <c r="S41" s="5"/>
      <c r="T41" s="3"/>
      <c r="U41" s="3"/>
    </row>
    <row r="42" ht="33.0" customHeight="1">
      <c r="A42" s="3"/>
      <c r="B42" s="3"/>
      <c r="C42" s="3"/>
      <c r="D42" s="3"/>
      <c r="E42" s="3"/>
      <c r="F42" s="3"/>
      <c r="G42" s="3"/>
      <c r="H42" s="5"/>
      <c r="I42" s="3"/>
      <c r="J42" s="3"/>
      <c r="K42" s="3"/>
      <c r="L42" s="3"/>
      <c r="M42" s="3"/>
      <c r="N42" s="3"/>
      <c r="O42" s="3"/>
      <c r="P42" s="3"/>
      <c r="Q42" s="3"/>
      <c r="R42" s="4"/>
      <c r="S42" s="5"/>
      <c r="T42" s="3"/>
      <c r="U42" s="3"/>
    </row>
    <row r="43" ht="33.0" customHeight="1">
      <c r="A43" s="3"/>
      <c r="B43" s="3"/>
      <c r="C43" s="3"/>
      <c r="D43" s="3"/>
      <c r="E43" s="3"/>
      <c r="F43" s="3"/>
      <c r="G43" s="3"/>
      <c r="H43" s="5"/>
      <c r="I43" s="3"/>
      <c r="J43" s="3"/>
      <c r="K43" s="3"/>
      <c r="L43" s="3"/>
      <c r="M43" s="3"/>
      <c r="N43" s="3"/>
      <c r="O43" s="3"/>
      <c r="P43" s="3"/>
      <c r="Q43" s="3"/>
      <c r="R43" s="4"/>
      <c r="S43" s="5"/>
      <c r="T43" s="3"/>
      <c r="U43" s="3"/>
    </row>
    <row r="44" ht="33.0" customHeight="1">
      <c r="A44" s="3"/>
      <c r="B44" s="3"/>
      <c r="C44" s="3"/>
      <c r="D44" s="3"/>
      <c r="E44" s="3"/>
      <c r="F44" s="3"/>
      <c r="G44" s="3"/>
      <c r="H44" s="5"/>
      <c r="I44" s="3"/>
      <c r="J44" s="3"/>
      <c r="K44" s="3"/>
      <c r="L44" s="3"/>
      <c r="M44" s="3"/>
      <c r="N44" s="3"/>
      <c r="O44" s="3"/>
      <c r="P44" s="3"/>
      <c r="Q44" s="3"/>
      <c r="R44" s="4"/>
      <c r="S44" s="5"/>
      <c r="T44" s="3"/>
      <c r="U44" s="3"/>
    </row>
    <row r="45" ht="33.0" customHeight="1">
      <c r="A45" s="3"/>
      <c r="B45" s="3"/>
      <c r="C45" s="3"/>
      <c r="D45" s="3"/>
      <c r="E45" s="3"/>
      <c r="F45" s="3"/>
      <c r="G45" s="3"/>
      <c r="H45" s="5"/>
      <c r="I45" s="3"/>
      <c r="J45" s="3"/>
      <c r="K45" s="3"/>
      <c r="L45" s="3"/>
      <c r="M45" s="3"/>
      <c r="N45" s="3"/>
      <c r="O45" s="3"/>
      <c r="P45" s="3"/>
      <c r="Q45" s="3"/>
      <c r="R45" s="4"/>
      <c r="S45" s="5"/>
      <c r="T45" s="3"/>
      <c r="U45" s="3"/>
    </row>
    <row r="46" ht="33.0" customHeight="1">
      <c r="A46" s="3"/>
      <c r="B46" s="3"/>
      <c r="C46" s="3"/>
      <c r="D46" s="3"/>
      <c r="E46" s="3"/>
      <c r="F46" s="3"/>
      <c r="G46" s="3"/>
      <c r="H46" s="5"/>
      <c r="I46" s="3"/>
      <c r="J46" s="3"/>
      <c r="K46" s="3"/>
      <c r="L46" s="3"/>
      <c r="M46" s="3"/>
      <c r="N46" s="3"/>
      <c r="O46" s="3"/>
      <c r="P46" s="3"/>
      <c r="Q46" s="3"/>
      <c r="R46" s="4"/>
      <c r="S46" s="5"/>
      <c r="T46" s="3"/>
      <c r="U46" s="3"/>
    </row>
    <row r="47" ht="33.0" customHeight="1">
      <c r="A47" s="3"/>
      <c r="B47" s="3"/>
      <c r="C47" s="3"/>
      <c r="D47" s="3"/>
      <c r="E47" s="3"/>
      <c r="F47" s="3"/>
      <c r="G47" s="3"/>
      <c r="H47" s="5"/>
      <c r="I47" s="3"/>
      <c r="J47" s="3"/>
      <c r="K47" s="3"/>
      <c r="L47" s="3"/>
      <c r="M47" s="3"/>
      <c r="N47" s="3"/>
      <c r="O47" s="3"/>
      <c r="P47" s="3"/>
      <c r="Q47" s="3"/>
      <c r="R47" s="4"/>
      <c r="S47" s="5"/>
      <c r="T47" s="3"/>
      <c r="U47" s="3"/>
    </row>
    <row r="48" ht="33.0" customHeight="1">
      <c r="A48" s="3"/>
      <c r="B48" s="3"/>
      <c r="C48" s="3"/>
      <c r="D48" s="3"/>
      <c r="E48" s="3"/>
      <c r="F48" s="3"/>
      <c r="G48" s="3"/>
      <c r="H48" s="5"/>
      <c r="I48" s="3"/>
      <c r="J48" s="3"/>
      <c r="K48" s="3"/>
      <c r="L48" s="3"/>
      <c r="M48" s="3"/>
      <c r="N48" s="3"/>
      <c r="O48" s="3"/>
      <c r="P48" s="3"/>
      <c r="Q48" s="3"/>
      <c r="R48" s="4"/>
      <c r="S48" s="5"/>
      <c r="T48" s="3"/>
      <c r="U48" s="3"/>
    </row>
    <row r="49" ht="33.0" customHeight="1">
      <c r="A49" s="3"/>
      <c r="B49" s="3"/>
      <c r="C49" s="3"/>
      <c r="D49" s="3"/>
      <c r="E49" s="3"/>
      <c r="F49" s="3"/>
      <c r="G49" s="3"/>
      <c r="H49" s="5"/>
      <c r="I49" s="3"/>
      <c r="J49" s="3"/>
      <c r="K49" s="3"/>
      <c r="L49" s="3"/>
      <c r="M49" s="3"/>
      <c r="N49" s="3"/>
      <c r="O49" s="3"/>
      <c r="P49" s="3"/>
      <c r="Q49" s="3"/>
      <c r="R49" s="4"/>
      <c r="S49" s="5"/>
      <c r="T49" s="3"/>
      <c r="U49" s="3"/>
    </row>
    <row r="50" ht="33.0" customHeight="1">
      <c r="A50" s="3"/>
      <c r="B50" s="3"/>
      <c r="C50" s="3"/>
      <c r="D50" s="3"/>
      <c r="E50" s="3"/>
      <c r="F50" s="3"/>
      <c r="G50" s="3"/>
      <c r="H50" s="5"/>
      <c r="I50" s="3"/>
      <c r="J50" s="3"/>
      <c r="K50" s="3"/>
      <c r="L50" s="3"/>
      <c r="M50" s="3"/>
      <c r="N50" s="3"/>
      <c r="O50" s="3"/>
      <c r="P50" s="3"/>
      <c r="Q50" s="3"/>
      <c r="R50" s="4"/>
      <c r="S50" s="5"/>
      <c r="T50" s="3"/>
      <c r="U50" s="3"/>
    </row>
    <row r="51" ht="33.0" customHeight="1">
      <c r="A51" s="3"/>
      <c r="B51" s="3"/>
      <c r="C51" s="3"/>
      <c r="D51" s="3"/>
      <c r="E51" s="3"/>
      <c r="F51" s="3"/>
      <c r="G51" s="3"/>
      <c r="H51" s="5"/>
      <c r="I51" s="3"/>
      <c r="J51" s="3"/>
      <c r="K51" s="3"/>
      <c r="L51" s="3"/>
      <c r="M51" s="3"/>
      <c r="N51" s="3"/>
      <c r="O51" s="3"/>
      <c r="P51" s="3"/>
      <c r="Q51" s="3"/>
      <c r="R51" s="4"/>
      <c r="S51" s="5"/>
      <c r="T51" s="3"/>
      <c r="U51" s="3"/>
    </row>
    <row r="52" ht="33.0" customHeight="1">
      <c r="A52" s="3"/>
      <c r="B52" s="3"/>
      <c r="C52" s="3"/>
      <c r="D52" s="3"/>
      <c r="E52" s="3"/>
      <c r="F52" s="3"/>
      <c r="G52" s="3"/>
      <c r="H52" s="5"/>
      <c r="I52" s="3"/>
      <c r="J52" s="3"/>
      <c r="K52" s="3"/>
      <c r="L52" s="3"/>
      <c r="M52" s="3"/>
      <c r="N52" s="3"/>
      <c r="O52" s="3"/>
      <c r="P52" s="3"/>
      <c r="Q52" s="3"/>
      <c r="R52" s="4"/>
      <c r="S52" s="5"/>
      <c r="T52" s="3"/>
      <c r="U52" s="3"/>
    </row>
    <row r="53" ht="33.0" customHeight="1">
      <c r="A53" s="3"/>
      <c r="B53" s="3"/>
      <c r="C53" s="3"/>
      <c r="D53" s="3"/>
      <c r="E53" s="3"/>
      <c r="F53" s="3"/>
      <c r="G53" s="3"/>
      <c r="H53" s="5"/>
      <c r="I53" s="3"/>
      <c r="J53" s="3"/>
      <c r="K53" s="3"/>
      <c r="L53" s="3"/>
      <c r="M53" s="3"/>
      <c r="N53" s="3"/>
      <c r="O53" s="3"/>
      <c r="P53" s="3"/>
      <c r="Q53" s="3"/>
      <c r="R53" s="4"/>
      <c r="S53" s="5"/>
      <c r="T53" s="3"/>
      <c r="U53" s="3"/>
    </row>
    <row r="54" ht="33.0" customHeight="1">
      <c r="A54" s="3"/>
      <c r="B54" s="3"/>
      <c r="C54" s="3"/>
      <c r="D54" s="3"/>
      <c r="E54" s="3"/>
      <c r="F54" s="3"/>
      <c r="G54" s="3"/>
      <c r="H54" s="5"/>
      <c r="I54" s="3"/>
      <c r="J54" s="3"/>
      <c r="K54" s="3"/>
      <c r="L54" s="3"/>
      <c r="M54" s="3"/>
      <c r="N54" s="3"/>
      <c r="O54" s="3"/>
      <c r="P54" s="3"/>
      <c r="Q54" s="3"/>
      <c r="R54" s="4"/>
      <c r="S54" s="5"/>
      <c r="T54" s="3"/>
      <c r="U54" s="3"/>
    </row>
    <row r="55" ht="33.0" customHeight="1">
      <c r="A55" s="3"/>
      <c r="B55" s="3"/>
      <c r="C55" s="3"/>
      <c r="D55" s="3"/>
      <c r="E55" s="3"/>
      <c r="F55" s="3"/>
      <c r="G55" s="3"/>
      <c r="H55" s="5"/>
      <c r="I55" s="3"/>
      <c r="J55" s="3"/>
      <c r="K55" s="3"/>
      <c r="L55" s="3"/>
      <c r="M55" s="3"/>
      <c r="N55" s="3"/>
      <c r="O55" s="3"/>
      <c r="P55" s="3"/>
      <c r="Q55" s="3"/>
      <c r="R55" s="4"/>
      <c r="S55" s="5"/>
      <c r="T55" s="3"/>
      <c r="U55" s="3"/>
    </row>
    <row r="56" ht="33.0" customHeight="1">
      <c r="A56" s="3"/>
      <c r="B56" s="3"/>
      <c r="C56" s="3"/>
      <c r="D56" s="3"/>
      <c r="E56" s="3"/>
      <c r="F56" s="3"/>
      <c r="G56" s="3"/>
      <c r="H56" s="5"/>
      <c r="I56" s="3"/>
      <c r="J56" s="3"/>
      <c r="K56" s="3"/>
      <c r="L56" s="3"/>
      <c r="M56" s="3"/>
      <c r="N56" s="3"/>
      <c r="O56" s="3"/>
      <c r="P56" s="3"/>
      <c r="Q56" s="3"/>
      <c r="R56" s="4"/>
      <c r="S56" s="5"/>
      <c r="T56" s="3"/>
      <c r="U56" s="3"/>
    </row>
    <row r="57" ht="33.0" customHeight="1">
      <c r="A57" s="3"/>
      <c r="B57" s="3"/>
      <c r="C57" s="3"/>
      <c r="D57" s="3"/>
      <c r="E57" s="3"/>
      <c r="F57" s="3"/>
      <c r="G57" s="3"/>
      <c r="H57" s="5"/>
      <c r="I57" s="3"/>
      <c r="J57" s="3"/>
      <c r="K57" s="3"/>
      <c r="L57" s="3"/>
      <c r="M57" s="3"/>
      <c r="N57" s="3"/>
      <c r="O57" s="3"/>
      <c r="P57" s="3"/>
      <c r="Q57" s="3"/>
      <c r="R57" s="4"/>
      <c r="S57" s="5"/>
      <c r="T57" s="3"/>
      <c r="U57" s="3"/>
    </row>
    <row r="58" ht="33.0" customHeight="1">
      <c r="A58" s="3"/>
      <c r="B58" s="3"/>
      <c r="C58" s="3"/>
      <c r="D58" s="3"/>
      <c r="E58" s="3"/>
      <c r="F58" s="3"/>
      <c r="G58" s="3"/>
      <c r="H58" s="5"/>
      <c r="I58" s="3"/>
      <c r="J58" s="3"/>
      <c r="K58" s="3"/>
      <c r="L58" s="3"/>
      <c r="M58" s="3"/>
      <c r="N58" s="3"/>
      <c r="O58" s="3"/>
      <c r="P58" s="3"/>
      <c r="Q58" s="3"/>
      <c r="R58" s="4"/>
      <c r="S58" s="5"/>
      <c r="T58" s="3"/>
      <c r="U58" s="3"/>
    </row>
    <row r="59" ht="33.0" customHeight="1">
      <c r="A59" s="3"/>
      <c r="B59" s="3"/>
      <c r="C59" s="3"/>
      <c r="D59" s="3"/>
      <c r="E59" s="3"/>
      <c r="F59" s="3"/>
      <c r="G59" s="3"/>
      <c r="H59" s="5"/>
      <c r="I59" s="3"/>
      <c r="J59" s="3"/>
      <c r="K59" s="3"/>
      <c r="L59" s="3"/>
      <c r="M59" s="3"/>
      <c r="N59" s="3"/>
      <c r="O59" s="3"/>
      <c r="P59" s="3"/>
      <c r="Q59" s="3"/>
      <c r="R59" s="4"/>
      <c r="S59" s="5"/>
      <c r="T59" s="3"/>
      <c r="U59" s="3"/>
    </row>
    <row r="60" ht="33.0" customHeight="1">
      <c r="A60" s="3"/>
      <c r="B60" s="3"/>
      <c r="C60" s="3"/>
      <c r="D60" s="3"/>
      <c r="E60" s="3"/>
      <c r="F60" s="3"/>
      <c r="G60" s="3"/>
      <c r="H60" s="5"/>
      <c r="I60" s="3"/>
      <c r="J60" s="3"/>
      <c r="K60" s="3"/>
      <c r="L60" s="3"/>
      <c r="M60" s="3"/>
      <c r="N60" s="3"/>
      <c r="O60" s="3"/>
      <c r="P60" s="3"/>
      <c r="Q60" s="3"/>
      <c r="R60" s="4"/>
      <c r="S60" s="5"/>
      <c r="T60" s="3"/>
      <c r="U60" s="3"/>
    </row>
    <row r="61" ht="33.0" customHeight="1">
      <c r="A61" s="3"/>
      <c r="B61" s="3"/>
      <c r="C61" s="3"/>
      <c r="D61" s="3"/>
      <c r="E61" s="3"/>
      <c r="F61" s="3"/>
      <c r="G61" s="3"/>
      <c r="H61" s="5"/>
      <c r="I61" s="3"/>
      <c r="J61" s="3"/>
      <c r="K61" s="3"/>
      <c r="L61" s="3"/>
      <c r="M61" s="3"/>
      <c r="N61" s="3"/>
      <c r="O61" s="3"/>
      <c r="P61" s="3"/>
      <c r="Q61" s="3"/>
      <c r="R61" s="4"/>
      <c r="S61" s="5"/>
      <c r="T61" s="3"/>
      <c r="U61" s="3"/>
    </row>
    <row r="62" ht="33.0" customHeight="1">
      <c r="A62" s="3"/>
      <c r="B62" s="3"/>
      <c r="C62" s="3"/>
      <c r="D62" s="3"/>
      <c r="E62" s="3"/>
      <c r="F62" s="3"/>
      <c r="G62" s="3"/>
      <c r="H62" s="5"/>
      <c r="I62" s="3"/>
      <c r="J62" s="3"/>
      <c r="K62" s="3"/>
      <c r="L62" s="3"/>
      <c r="M62" s="3"/>
      <c r="N62" s="3"/>
      <c r="O62" s="3"/>
      <c r="P62" s="3"/>
      <c r="Q62" s="3"/>
      <c r="R62" s="4"/>
      <c r="S62" s="5"/>
      <c r="T62" s="3"/>
      <c r="U62" s="3"/>
    </row>
    <row r="63" ht="33.0" customHeight="1">
      <c r="A63" s="3"/>
      <c r="B63" s="3"/>
      <c r="C63" s="3"/>
      <c r="D63" s="3"/>
      <c r="E63" s="3"/>
      <c r="F63" s="3"/>
      <c r="G63" s="3"/>
      <c r="H63" s="5"/>
      <c r="I63" s="3"/>
      <c r="J63" s="3"/>
      <c r="K63" s="3"/>
      <c r="L63" s="3"/>
      <c r="M63" s="3"/>
      <c r="N63" s="3"/>
      <c r="O63" s="3"/>
      <c r="P63" s="3"/>
      <c r="Q63" s="3"/>
      <c r="R63" s="4"/>
      <c r="S63" s="5"/>
      <c r="T63" s="3"/>
      <c r="U63" s="3"/>
    </row>
    <row r="64" ht="33.0" customHeight="1">
      <c r="A64" s="3"/>
      <c r="B64" s="3"/>
      <c r="C64" s="3"/>
      <c r="D64" s="3"/>
      <c r="E64" s="3"/>
      <c r="F64" s="3"/>
      <c r="G64" s="3"/>
      <c r="H64" s="5"/>
      <c r="I64" s="3"/>
      <c r="J64" s="3"/>
      <c r="K64" s="3"/>
      <c r="L64" s="3"/>
      <c r="M64" s="3"/>
      <c r="N64" s="3"/>
      <c r="O64" s="3"/>
      <c r="P64" s="3"/>
      <c r="Q64" s="3"/>
      <c r="R64" s="4"/>
      <c r="S64" s="5"/>
      <c r="T64" s="3"/>
      <c r="U64" s="3"/>
    </row>
    <row r="65" ht="33.0" customHeight="1">
      <c r="A65" s="3"/>
      <c r="B65" s="3"/>
      <c r="C65" s="3"/>
      <c r="D65" s="3"/>
      <c r="E65" s="3"/>
      <c r="F65" s="3"/>
      <c r="G65" s="3"/>
      <c r="H65" s="5"/>
      <c r="I65" s="3"/>
      <c r="J65" s="3"/>
      <c r="K65" s="3"/>
      <c r="L65" s="3"/>
      <c r="M65" s="3"/>
      <c r="N65" s="3"/>
      <c r="O65" s="3"/>
      <c r="P65" s="3"/>
      <c r="Q65" s="3"/>
      <c r="R65" s="4"/>
      <c r="S65" s="5"/>
      <c r="T65" s="3"/>
      <c r="U65" s="3"/>
    </row>
    <row r="66" ht="33.0" customHeight="1">
      <c r="A66" s="3"/>
      <c r="B66" s="3"/>
      <c r="C66" s="3"/>
      <c r="D66" s="3"/>
      <c r="E66" s="3"/>
      <c r="F66" s="3"/>
      <c r="G66" s="3"/>
      <c r="H66" s="5"/>
      <c r="I66" s="3"/>
      <c r="J66" s="3"/>
      <c r="K66" s="3"/>
      <c r="L66" s="3"/>
      <c r="M66" s="3"/>
      <c r="N66" s="3"/>
      <c r="O66" s="3"/>
      <c r="P66" s="3"/>
      <c r="Q66" s="3"/>
      <c r="R66" s="4"/>
      <c r="S66" s="5"/>
      <c r="T66" s="3"/>
      <c r="U66" s="3"/>
    </row>
    <row r="67" ht="33.0" customHeight="1">
      <c r="A67" s="3"/>
      <c r="B67" s="3"/>
      <c r="C67" s="3"/>
      <c r="D67" s="3"/>
      <c r="E67" s="3"/>
      <c r="F67" s="3"/>
      <c r="G67" s="3"/>
      <c r="H67" s="5"/>
      <c r="I67" s="3"/>
      <c r="J67" s="3"/>
      <c r="K67" s="3"/>
      <c r="L67" s="3"/>
      <c r="M67" s="3"/>
      <c r="N67" s="3"/>
      <c r="O67" s="3"/>
      <c r="P67" s="3"/>
      <c r="Q67" s="3"/>
      <c r="R67" s="4"/>
      <c r="S67" s="5"/>
      <c r="T67" s="3"/>
      <c r="U67" s="3"/>
    </row>
    <row r="68" ht="33.0" customHeight="1">
      <c r="A68" s="3"/>
      <c r="B68" s="3"/>
      <c r="C68" s="3"/>
      <c r="D68" s="3"/>
      <c r="E68" s="3"/>
      <c r="F68" s="3"/>
      <c r="G68" s="3"/>
      <c r="H68" s="5"/>
      <c r="I68" s="3"/>
      <c r="J68" s="3"/>
      <c r="K68" s="3"/>
      <c r="L68" s="3"/>
      <c r="M68" s="3"/>
      <c r="N68" s="3"/>
      <c r="O68" s="3"/>
      <c r="P68" s="3"/>
      <c r="Q68" s="3"/>
      <c r="R68" s="4"/>
      <c r="S68" s="5"/>
      <c r="T68" s="3"/>
      <c r="U68" s="3"/>
    </row>
    <row r="69" ht="33.0" customHeight="1">
      <c r="A69" s="3"/>
      <c r="B69" s="3"/>
      <c r="C69" s="3"/>
      <c r="D69" s="3"/>
      <c r="E69" s="3"/>
      <c r="F69" s="3"/>
      <c r="G69" s="3"/>
      <c r="H69" s="5"/>
      <c r="I69" s="3"/>
      <c r="J69" s="3"/>
      <c r="K69" s="3"/>
      <c r="L69" s="3"/>
      <c r="M69" s="3"/>
      <c r="N69" s="3"/>
      <c r="O69" s="3"/>
      <c r="P69" s="3"/>
      <c r="Q69" s="3"/>
      <c r="R69" s="4"/>
      <c r="S69" s="5"/>
      <c r="T69" s="3"/>
      <c r="U69" s="3"/>
    </row>
    <row r="70" ht="33.0" customHeight="1">
      <c r="A70" s="3"/>
      <c r="B70" s="3"/>
      <c r="C70" s="3"/>
      <c r="D70" s="3"/>
      <c r="E70" s="3"/>
      <c r="F70" s="3"/>
      <c r="G70" s="3"/>
      <c r="H70" s="5"/>
      <c r="I70" s="3"/>
      <c r="J70" s="3"/>
      <c r="K70" s="3"/>
      <c r="L70" s="3"/>
      <c r="M70" s="3"/>
      <c r="N70" s="3"/>
      <c r="O70" s="3"/>
      <c r="P70" s="3"/>
      <c r="Q70" s="3"/>
      <c r="R70" s="4"/>
      <c r="S70" s="5"/>
      <c r="T70" s="3"/>
      <c r="U70" s="3"/>
    </row>
    <row r="71" ht="33.0" customHeight="1">
      <c r="A71" s="3"/>
      <c r="B71" s="3"/>
      <c r="C71" s="3"/>
      <c r="D71" s="3"/>
      <c r="E71" s="3"/>
      <c r="F71" s="3"/>
      <c r="G71" s="3"/>
      <c r="H71" s="5"/>
      <c r="I71" s="3"/>
      <c r="J71" s="3"/>
      <c r="K71" s="3"/>
      <c r="L71" s="3"/>
      <c r="M71" s="3"/>
      <c r="N71" s="3"/>
      <c r="O71" s="3"/>
      <c r="P71" s="3"/>
      <c r="Q71" s="3"/>
      <c r="R71" s="4"/>
      <c r="S71" s="5"/>
      <c r="T71" s="3"/>
      <c r="U71" s="3"/>
    </row>
    <row r="72" ht="33.0" customHeight="1">
      <c r="A72" s="3"/>
      <c r="B72" s="3"/>
      <c r="C72" s="3"/>
      <c r="D72" s="3"/>
      <c r="E72" s="3"/>
      <c r="F72" s="3"/>
      <c r="G72" s="3"/>
      <c r="H72" s="5"/>
      <c r="I72" s="3"/>
      <c r="J72" s="3"/>
      <c r="K72" s="3"/>
      <c r="L72" s="3"/>
      <c r="M72" s="3"/>
      <c r="N72" s="3"/>
      <c r="O72" s="3"/>
      <c r="P72" s="3"/>
      <c r="Q72" s="3"/>
      <c r="R72" s="4"/>
      <c r="S72" s="5"/>
      <c r="T72" s="3"/>
      <c r="U72" s="3"/>
    </row>
    <row r="73" ht="33.0" customHeight="1">
      <c r="A73" s="3"/>
      <c r="B73" s="3"/>
      <c r="C73" s="3"/>
      <c r="D73" s="3"/>
      <c r="E73" s="3"/>
      <c r="F73" s="3"/>
      <c r="G73" s="3"/>
      <c r="H73" s="5"/>
      <c r="I73" s="3"/>
      <c r="J73" s="3"/>
      <c r="K73" s="3"/>
      <c r="L73" s="3"/>
      <c r="M73" s="3"/>
      <c r="N73" s="3"/>
      <c r="O73" s="3"/>
      <c r="P73" s="3"/>
      <c r="Q73" s="3"/>
      <c r="R73" s="4"/>
      <c r="S73" s="5"/>
      <c r="T73" s="3"/>
      <c r="U73" s="3"/>
    </row>
    <row r="74" ht="33.0" customHeight="1">
      <c r="A74" s="3"/>
      <c r="B74" s="3"/>
      <c r="C74" s="3"/>
      <c r="D74" s="3"/>
      <c r="E74" s="3"/>
      <c r="F74" s="3"/>
      <c r="G74" s="3"/>
      <c r="H74" s="5"/>
      <c r="I74" s="3"/>
      <c r="J74" s="3"/>
      <c r="K74" s="3"/>
      <c r="L74" s="3"/>
      <c r="M74" s="3"/>
      <c r="N74" s="3"/>
      <c r="O74" s="3"/>
      <c r="P74" s="3"/>
      <c r="Q74" s="3"/>
      <c r="R74" s="4"/>
      <c r="S74" s="5"/>
      <c r="T74" s="3"/>
      <c r="U74" s="3"/>
    </row>
    <row r="75" ht="33.0" customHeight="1">
      <c r="A75" s="3"/>
      <c r="B75" s="3"/>
      <c r="C75" s="3"/>
      <c r="D75" s="3"/>
      <c r="E75" s="3"/>
      <c r="F75" s="3"/>
      <c r="G75" s="3"/>
      <c r="H75" s="5"/>
      <c r="I75" s="3"/>
      <c r="J75" s="3"/>
      <c r="K75" s="3"/>
      <c r="L75" s="3"/>
      <c r="M75" s="3"/>
      <c r="N75" s="3"/>
      <c r="O75" s="3"/>
      <c r="P75" s="3"/>
      <c r="Q75" s="3"/>
      <c r="R75" s="4"/>
      <c r="S75" s="5"/>
      <c r="T75" s="3"/>
      <c r="U75" s="3"/>
    </row>
    <row r="76" ht="33.0" customHeight="1">
      <c r="A76" s="3"/>
      <c r="B76" s="3"/>
      <c r="C76" s="3"/>
      <c r="D76" s="3"/>
      <c r="E76" s="3"/>
      <c r="F76" s="3"/>
      <c r="G76" s="3"/>
      <c r="H76" s="5"/>
      <c r="I76" s="3"/>
      <c r="J76" s="3"/>
      <c r="K76" s="3"/>
      <c r="L76" s="3"/>
      <c r="M76" s="3"/>
      <c r="N76" s="3"/>
      <c r="O76" s="3"/>
      <c r="P76" s="3"/>
      <c r="Q76" s="3"/>
      <c r="R76" s="4"/>
      <c r="S76" s="5"/>
      <c r="T76" s="3"/>
      <c r="U76" s="3"/>
    </row>
    <row r="77" ht="33.0" customHeight="1">
      <c r="A77" s="3"/>
      <c r="B77" s="3"/>
      <c r="C77" s="3"/>
      <c r="D77" s="3"/>
      <c r="E77" s="3"/>
      <c r="F77" s="3"/>
      <c r="G77" s="3"/>
      <c r="H77" s="5"/>
      <c r="I77" s="3"/>
      <c r="J77" s="3"/>
      <c r="K77" s="3"/>
      <c r="L77" s="3"/>
      <c r="M77" s="3"/>
      <c r="N77" s="3"/>
      <c r="O77" s="3"/>
      <c r="P77" s="3"/>
      <c r="Q77" s="3"/>
      <c r="R77" s="4"/>
      <c r="S77" s="5"/>
      <c r="T77" s="3"/>
      <c r="U77" s="3"/>
    </row>
    <row r="78" ht="33.0" customHeight="1">
      <c r="A78" s="3"/>
      <c r="B78" s="3"/>
      <c r="C78" s="3"/>
      <c r="D78" s="3"/>
      <c r="E78" s="3"/>
      <c r="F78" s="3"/>
      <c r="G78" s="3"/>
      <c r="H78" s="5"/>
      <c r="I78" s="3"/>
      <c r="J78" s="3"/>
      <c r="K78" s="3"/>
      <c r="L78" s="3"/>
      <c r="M78" s="3"/>
      <c r="N78" s="3"/>
      <c r="O78" s="3"/>
      <c r="P78" s="3"/>
      <c r="Q78" s="3"/>
      <c r="R78" s="4"/>
      <c r="S78" s="5"/>
      <c r="T78" s="3"/>
      <c r="U78" s="3"/>
    </row>
    <row r="79" ht="33.0" customHeight="1">
      <c r="A79" s="3"/>
      <c r="B79" s="3"/>
      <c r="C79" s="3"/>
      <c r="D79" s="3"/>
      <c r="E79" s="3"/>
      <c r="F79" s="3"/>
      <c r="G79" s="3"/>
      <c r="H79" s="5"/>
      <c r="I79" s="3"/>
      <c r="J79" s="3"/>
      <c r="K79" s="3"/>
      <c r="L79" s="3"/>
      <c r="M79" s="3"/>
      <c r="N79" s="3"/>
      <c r="O79" s="3"/>
      <c r="P79" s="3"/>
      <c r="Q79" s="3"/>
      <c r="R79" s="4"/>
      <c r="S79" s="5"/>
      <c r="T79" s="3"/>
      <c r="U79" s="3"/>
    </row>
    <row r="80" ht="33.0" customHeight="1">
      <c r="A80" s="3"/>
      <c r="B80" s="3"/>
      <c r="C80" s="3"/>
      <c r="D80" s="3"/>
      <c r="E80" s="3"/>
      <c r="F80" s="3"/>
      <c r="G80" s="3"/>
      <c r="H80" s="5"/>
      <c r="I80" s="3"/>
      <c r="J80" s="3"/>
      <c r="K80" s="3"/>
      <c r="L80" s="3"/>
      <c r="M80" s="3"/>
      <c r="N80" s="3"/>
      <c r="O80" s="3"/>
      <c r="P80" s="3"/>
      <c r="Q80" s="3"/>
      <c r="R80" s="4"/>
      <c r="S80" s="5"/>
      <c r="T80" s="3"/>
      <c r="U80" s="3"/>
    </row>
    <row r="81" ht="33.0" customHeight="1">
      <c r="A81" s="3"/>
      <c r="B81" s="3"/>
      <c r="C81" s="3"/>
      <c r="D81" s="3"/>
      <c r="E81" s="3"/>
      <c r="F81" s="3"/>
      <c r="G81" s="3"/>
      <c r="H81" s="5"/>
      <c r="I81" s="3"/>
      <c r="J81" s="3"/>
      <c r="K81" s="3"/>
      <c r="L81" s="3"/>
      <c r="M81" s="3"/>
      <c r="N81" s="3"/>
      <c r="O81" s="3"/>
      <c r="P81" s="3"/>
      <c r="Q81" s="3"/>
      <c r="R81" s="4"/>
      <c r="S81" s="5"/>
      <c r="T81" s="3"/>
      <c r="U81" s="3"/>
    </row>
    <row r="82" ht="33.0" customHeight="1">
      <c r="A82" s="3"/>
      <c r="B82" s="3"/>
      <c r="C82" s="3"/>
      <c r="D82" s="3"/>
      <c r="E82" s="3"/>
      <c r="F82" s="3"/>
      <c r="G82" s="3"/>
      <c r="H82" s="5"/>
      <c r="I82" s="3"/>
      <c r="J82" s="3"/>
      <c r="K82" s="3"/>
      <c r="L82" s="3"/>
      <c r="M82" s="3"/>
      <c r="N82" s="3"/>
      <c r="O82" s="3"/>
      <c r="P82" s="3"/>
      <c r="Q82" s="3"/>
      <c r="R82" s="4"/>
      <c r="S82" s="5"/>
      <c r="T82" s="3"/>
      <c r="U82" s="3"/>
    </row>
    <row r="83" ht="33.0" customHeight="1">
      <c r="A83" s="3"/>
      <c r="B83" s="3"/>
      <c r="C83" s="3"/>
      <c r="D83" s="3"/>
      <c r="E83" s="3"/>
      <c r="F83" s="3"/>
      <c r="G83" s="3"/>
      <c r="H83" s="5"/>
      <c r="I83" s="3"/>
      <c r="J83" s="3"/>
      <c r="K83" s="3"/>
      <c r="L83" s="3"/>
      <c r="M83" s="3"/>
      <c r="N83" s="3"/>
      <c r="O83" s="3"/>
      <c r="P83" s="3"/>
      <c r="Q83" s="3"/>
      <c r="R83" s="4"/>
      <c r="S83" s="5"/>
      <c r="T83" s="3"/>
      <c r="U83" s="3"/>
    </row>
    <row r="84" ht="33.0" customHeight="1">
      <c r="A84" s="3"/>
      <c r="B84" s="3"/>
      <c r="C84" s="3"/>
      <c r="D84" s="3"/>
      <c r="E84" s="3"/>
      <c r="F84" s="3"/>
      <c r="G84" s="3"/>
      <c r="H84" s="5"/>
      <c r="I84" s="3"/>
      <c r="J84" s="3"/>
      <c r="K84" s="3"/>
      <c r="L84" s="3"/>
      <c r="M84" s="3"/>
      <c r="N84" s="3"/>
      <c r="O84" s="3"/>
      <c r="P84" s="3"/>
      <c r="Q84" s="3"/>
      <c r="R84" s="4"/>
      <c r="S84" s="5"/>
      <c r="T84" s="3"/>
      <c r="U84" s="3"/>
    </row>
    <row r="85" ht="33.0" customHeight="1">
      <c r="A85" s="3"/>
      <c r="B85" s="3"/>
      <c r="C85" s="3"/>
      <c r="D85" s="3"/>
      <c r="E85" s="3"/>
      <c r="F85" s="3"/>
      <c r="G85" s="3"/>
      <c r="H85" s="5"/>
      <c r="I85" s="3"/>
      <c r="J85" s="3"/>
      <c r="K85" s="3"/>
      <c r="L85" s="3"/>
      <c r="M85" s="3"/>
      <c r="N85" s="3"/>
      <c r="O85" s="3"/>
      <c r="P85" s="3"/>
      <c r="Q85" s="3"/>
      <c r="R85" s="4"/>
      <c r="S85" s="5"/>
      <c r="T85" s="3"/>
      <c r="U85" s="3"/>
    </row>
    <row r="86" ht="33.0" customHeight="1">
      <c r="A86" s="3"/>
      <c r="B86" s="3"/>
      <c r="C86" s="3"/>
      <c r="D86" s="3"/>
      <c r="E86" s="3"/>
      <c r="F86" s="3"/>
      <c r="G86" s="3"/>
      <c r="H86" s="5"/>
      <c r="I86" s="3"/>
      <c r="J86" s="3"/>
      <c r="K86" s="3"/>
      <c r="L86" s="3"/>
      <c r="M86" s="3"/>
      <c r="N86" s="3"/>
      <c r="O86" s="3"/>
      <c r="P86" s="3"/>
      <c r="Q86" s="3"/>
      <c r="R86" s="4"/>
      <c r="S86" s="5"/>
      <c r="T86" s="3"/>
      <c r="U86" s="3"/>
    </row>
    <row r="87" ht="33.0" customHeight="1">
      <c r="A87" s="3"/>
      <c r="B87" s="3"/>
      <c r="C87" s="3"/>
      <c r="D87" s="3"/>
      <c r="E87" s="3"/>
      <c r="F87" s="3"/>
      <c r="G87" s="3"/>
      <c r="H87" s="5"/>
      <c r="I87" s="3"/>
      <c r="J87" s="3"/>
      <c r="K87" s="3"/>
      <c r="L87" s="3"/>
      <c r="M87" s="3"/>
      <c r="N87" s="3"/>
      <c r="O87" s="3"/>
      <c r="P87" s="3"/>
      <c r="Q87" s="3"/>
      <c r="R87" s="4"/>
      <c r="S87" s="5"/>
      <c r="T87" s="3"/>
      <c r="U87" s="3"/>
    </row>
    <row r="88" ht="33.0" customHeight="1">
      <c r="A88" s="3"/>
      <c r="B88" s="3"/>
      <c r="C88" s="3"/>
      <c r="D88" s="3"/>
      <c r="E88" s="3"/>
      <c r="F88" s="3"/>
      <c r="G88" s="3"/>
      <c r="H88" s="5"/>
      <c r="I88" s="3"/>
      <c r="J88" s="3"/>
      <c r="K88" s="3"/>
      <c r="L88" s="3"/>
      <c r="M88" s="3"/>
      <c r="N88" s="3"/>
      <c r="O88" s="3"/>
      <c r="P88" s="3"/>
      <c r="Q88" s="3"/>
      <c r="R88" s="4"/>
      <c r="S88" s="5"/>
      <c r="T88" s="3"/>
      <c r="U88" s="3"/>
    </row>
    <row r="89" ht="33.0" customHeight="1">
      <c r="A89" s="3"/>
      <c r="B89" s="3"/>
      <c r="C89" s="3"/>
      <c r="D89" s="3"/>
      <c r="E89" s="3"/>
      <c r="F89" s="3"/>
      <c r="G89" s="3"/>
      <c r="H89" s="5"/>
      <c r="I89" s="3"/>
      <c r="J89" s="3"/>
      <c r="K89" s="3"/>
      <c r="L89" s="3"/>
      <c r="M89" s="3"/>
      <c r="N89" s="3"/>
      <c r="O89" s="3"/>
      <c r="P89" s="3"/>
      <c r="Q89" s="3"/>
      <c r="R89" s="4"/>
      <c r="S89" s="5"/>
      <c r="T89" s="3"/>
      <c r="U89" s="3"/>
    </row>
    <row r="90" ht="33.0" customHeight="1">
      <c r="A90" s="3"/>
      <c r="B90" s="3"/>
      <c r="C90" s="3"/>
      <c r="D90" s="3"/>
      <c r="E90" s="3"/>
      <c r="F90" s="3"/>
      <c r="G90" s="3"/>
      <c r="H90" s="5"/>
      <c r="I90" s="3"/>
      <c r="J90" s="3"/>
      <c r="K90" s="3"/>
      <c r="L90" s="3"/>
      <c r="M90" s="3"/>
      <c r="N90" s="3"/>
      <c r="O90" s="3"/>
      <c r="P90" s="3"/>
      <c r="Q90" s="3"/>
      <c r="R90" s="4"/>
      <c r="S90" s="5"/>
      <c r="T90" s="3"/>
      <c r="U90" s="3"/>
    </row>
    <row r="91" ht="33.0" customHeight="1">
      <c r="A91" s="3"/>
      <c r="B91" s="3"/>
      <c r="C91" s="3"/>
      <c r="D91" s="3"/>
      <c r="E91" s="3"/>
      <c r="F91" s="3"/>
      <c r="G91" s="3"/>
      <c r="H91" s="5"/>
      <c r="I91" s="3"/>
      <c r="J91" s="3"/>
      <c r="K91" s="3"/>
      <c r="L91" s="3"/>
      <c r="M91" s="3"/>
      <c r="N91" s="3"/>
      <c r="O91" s="3"/>
      <c r="P91" s="3"/>
      <c r="Q91" s="3"/>
      <c r="R91" s="4"/>
      <c r="S91" s="5"/>
      <c r="T91" s="3"/>
      <c r="U91" s="3"/>
    </row>
    <row r="92" ht="33.0" customHeight="1">
      <c r="A92" s="3"/>
      <c r="B92" s="3"/>
      <c r="C92" s="3"/>
      <c r="D92" s="3"/>
      <c r="E92" s="3"/>
      <c r="F92" s="3"/>
      <c r="G92" s="3"/>
      <c r="H92" s="5"/>
      <c r="I92" s="3"/>
      <c r="J92" s="3"/>
      <c r="K92" s="3"/>
      <c r="L92" s="3"/>
      <c r="M92" s="3"/>
      <c r="N92" s="3"/>
      <c r="O92" s="3"/>
      <c r="P92" s="3"/>
      <c r="Q92" s="3"/>
      <c r="R92" s="4"/>
      <c r="S92" s="5"/>
      <c r="T92" s="3"/>
      <c r="U92" s="3"/>
    </row>
    <row r="93" ht="33.0" customHeight="1">
      <c r="A93" s="3"/>
      <c r="B93" s="3"/>
      <c r="C93" s="3"/>
      <c r="D93" s="3"/>
      <c r="E93" s="3"/>
      <c r="F93" s="3"/>
      <c r="G93" s="3"/>
      <c r="H93" s="5"/>
      <c r="I93" s="3"/>
      <c r="J93" s="3"/>
      <c r="K93" s="3"/>
      <c r="L93" s="3"/>
      <c r="M93" s="3"/>
      <c r="N93" s="3"/>
      <c r="O93" s="3"/>
      <c r="P93" s="3"/>
      <c r="Q93" s="3"/>
      <c r="R93" s="4"/>
      <c r="S93" s="5"/>
      <c r="T93" s="3"/>
      <c r="U93" s="3"/>
    </row>
    <row r="94" ht="33.0" customHeight="1">
      <c r="A94" s="3"/>
      <c r="B94" s="3"/>
      <c r="C94" s="3"/>
      <c r="D94" s="3"/>
      <c r="E94" s="3"/>
      <c r="F94" s="3"/>
      <c r="G94" s="3"/>
      <c r="H94" s="5"/>
      <c r="I94" s="3"/>
      <c r="J94" s="3"/>
      <c r="K94" s="3"/>
      <c r="L94" s="3"/>
      <c r="M94" s="3"/>
      <c r="N94" s="3"/>
      <c r="O94" s="3"/>
      <c r="P94" s="3"/>
      <c r="Q94" s="3"/>
      <c r="R94" s="4"/>
      <c r="S94" s="5"/>
      <c r="T94" s="3"/>
      <c r="U94" s="3"/>
    </row>
    <row r="95" ht="33.0" customHeight="1">
      <c r="A95" s="3"/>
      <c r="B95" s="3"/>
      <c r="C95" s="3"/>
      <c r="D95" s="3"/>
      <c r="E95" s="3"/>
      <c r="F95" s="3"/>
      <c r="G95" s="3"/>
      <c r="H95" s="5"/>
      <c r="I95" s="3"/>
      <c r="J95" s="3"/>
      <c r="K95" s="3"/>
      <c r="L95" s="3"/>
      <c r="M95" s="3"/>
      <c r="N95" s="3"/>
      <c r="O95" s="3"/>
      <c r="P95" s="3"/>
      <c r="Q95" s="3"/>
      <c r="R95" s="4"/>
      <c r="S95" s="5"/>
      <c r="T95" s="3"/>
      <c r="U95" s="3"/>
    </row>
    <row r="96" ht="33.0" customHeight="1">
      <c r="A96" s="3"/>
      <c r="B96" s="3"/>
      <c r="C96" s="3"/>
      <c r="D96" s="3"/>
      <c r="E96" s="3"/>
      <c r="F96" s="3"/>
      <c r="G96" s="3"/>
      <c r="H96" s="5"/>
      <c r="I96" s="3"/>
      <c r="J96" s="3"/>
      <c r="K96" s="3"/>
      <c r="L96" s="3"/>
      <c r="M96" s="3"/>
      <c r="N96" s="3"/>
      <c r="O96" s="3"/>
      <c r="P96" s="3"/>
      <c r="Q96" s="3"/>
      <c r="R96" s="4"/>
      <c r="S96" s="5"/>
      <c r="T96" s="3"/>
      <c r="U96" s="3"/>
    </row>
    <row r="97" ht="33.0" customHeight="1">
      <c r="A97" s="3"/>
      <c r="B97" s="3"/>
      <c r="C97" s="3"/>
      <c r="D97" s="3"/>
      <c r="E97" s="3"/>
      <c r="F97" s="3"/>
      <c r="G97" s="3"/>
      <c r="H97" s="5"/>
      <c r="I97" s="3"/>
      <c r="J97" s="3"/>
      <c r="K97" s="3"/>
      <c r="L97" s="3"/>
      <c r="M97" s="3"/>
      <c r="N97" s="3"/>
      <c r="O97" s="3"/>
      <c r="P97" s="3"/>
      <c r="Q97" s="3"/>
      <c r="R97" s="4"/>
      <c r="S97" s="5"/>
      <c r="T97" s="3"/>
      <c r="U97" s="3"/>
    </row>
    <row r="98" ht="33.0" customHeight="1">
      <c r="A98" s="3"/>
      <c r="B98" s="3"/>
      <c r="C98" s="3"/>
      <c r="D98" s="3"/>
      <c r="E98" s="3"/>
      <c r="F98" s="3"/>
      <c r="G98" s="3"/>
      <c r="H98" s="5"/>
      <c r="I98" s="3"/>
      <c r="J98" s="3"/>
      <c r="K98" s="3"/>
      <c r="L98" s="3"/>
      <c r="M98" s="3"/>
      <c r="N98" s="3"/>
      <c r="O98" s="3"/>
      <c r="P98" s="3"/>
      <c r="Q98" s="3"/>
      <c r="R98" s="4"/>
      <c r="S98" s="5"/>
      <c r="T98" s="3"/>
      <c r="U98" s="3"/>
    </row>
    <row r="99" ht="33.0" customHeight="1">
      <c r="A99" s="3"/>
      <c r="B99" s="3"/>
      <c r="C99" s="3"/>
      <c r="D99" s="3"/>
      <c r="E99" s="3"/>
      <c r="F99" s="3"/>
      <c r="G99" s="3"/>
      <c r="H99" s="5"/>
      <c r="I99" s="3"/>
      <c r="J99" s="3"/>
      <c r="K99" s="3"/>
      <c r="L99" s="3"/>
      <c r="M99" s="3"/>
      <c r="N99" s="3"/>
      <c r="O99" s="3"/>
      <c r="P99" s="3"/>
      <c r="Q99" s="3"/>
      <c r="R99" s="4"/>
      <c r="S99" s="5"/>
      <c r="T99" s="3"/>
      <c r="U99" s="3"/>
    </row>
    <row r="100" ht="33.0" customHeight="1">
      <c r="A100" s="3"/>
      <c r="B100" s="3"/>
      <c r="C100" s="3"/>
      <c r="D100" s="3"/>
      <c r="E100" s="3"/>
      <c r="F100" s="3"/>
      <c r="G100" s="3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4"/>
      <c r="S100" s="5"/>
      <c r="T100" s="3"/>
      <c r="U100" s="3"/>
    </row>
    <row r="101" ht="33.0" customHeight="1">
      <c r="A101" s="3"/>
      <c r="B101" s="3"/>
      <c r="C101" s="3"/>
      <c r="D101" s="3"/>
      <c r="E101" s="3"/>
      <c r="F101" s="3"/>
      <c r="G101" s="3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5"/>
      <c r="T101" s="3"/>
      <c r="U101" s="3"/>
    </row>
    <row r="102" ht="33.0" customHeight="1">
      <c r="A102" s="3"/>
      <c r="B102" s="3"/>
      <c r="C102" s="3"/>
      <c r="D102" s="3"/>
      <c r="E102" s="3"/>
      <c r="F102" s="3"/>
      <c r="G102" s="3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5"/>
      <c r="T102" s="3"/>
      <c r="U102" s="3"/>
    </row>
    <row r="103" ht="33.0" customHeight="1">
      <c r="A103" s="3"/>
      <c r="B103" s="3"/>
      <c r="C103" s="3"/>
      <c r="D103" s="3"/>
      <c r="E103" s="3"/>
      <c r="F103" s="3"/>
      <c r="G103" s="3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5"/>
      <c r="T103" s="3"/>
      <c r="U103" s="3"/>
    </row>
    <row r="104" ht="33.0" customHeight="1">
      <c r="A104" s="3"/>
      <c r="B104" s="3"/>
      <c r="C104" s="3"/>
      <c r="D104" s="3"/>
      <c r="E104" s="3"/>
      <c r="F104" s="3"/>
      <c r="G104" s="3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5"/>
      <c r="T104" s="3"/>
      <c r="U104" s="3"/>
    </row>
    <row r="105" ht="33.0" customHeight="1">
      <c r="A105" s="3"/>
      <c r="B105" s="3"/>
      <c r="C105" s="3"/>
      <c r="D105" s="3"/>
      <c r="E105" s="3"/>
      <c r="F105" s="3"/>
      <c r="G105" s="3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4"/>
      <c r="S105" s="5"/>
      <c r="T105" s="3"/>
      <c r="U105" s="3"/>
    </row>
    <row r="106" ht="33.0" customHeight="1">
      <c r="A106" s="3"/>
      <c r="B106" s="3"/>
      <c r="C106" s="3"/>
      <c r="D106" s="3"/>
      <c r="E106" s="3"/>
      <c r="F106" s="3"/>
      <c r="G106" s="3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4"/>
      <c r="S106" s="5"/>
      <c r="T106" s="3"/>
      <c r="U106" s="3"/>
    </row>
    <row r="107" ht="33.0" customHeight="1">
      <c r="A107" s="3"/>
      <c r="B107" s="3"/>
      <c r="C107" s="3"/>
      <c r="D107" s="3"/>
      <c r="E107" s="3"/>
      <c r="F107" s="3"/>
      <c r="G107" s="3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4"/>
      <c r="S107" s="5"/>
      <c r="T107" s="3"/>
      <c r="U107" s="3"/>
    </row>
    <row r="108" ht="33.0" customHeight="1">
      <c r="A108" s="3"/>
      <c r="B108" s="3"/>
      <c r="C108" s="3"/>
      <c r="D108" s="3"/>
      <c r="E108" s="3"/>
      <c r="F108" s="3"/>
      <c r="G108" s="3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4"/>
      <c r="S108" s="5"/>
      <c r="T108" s="3"/>
      <c r="U108" s="3"/>
    </row>
    <row r="109" ht="33.0" customHeight="1">
      <c r="A109" s="3"/>
      <c r="B109" s="3"/>
      <c r="C109" s="3"/>
      <c r="D109" s="3"/>
      <c r="E109" s="3"/>
      <c r="F109" s="3"/>
      <c r="G109" s="3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4"/>
      <c r="S109" s="5"/>
      <c r="T109" s="3"/>
      <c r="U109" s="3"/>
    </row>
    <row r="110" ht="33.0" customHeight="1">
      <c r="A110" s="3"/>
      <c r="B110" s="3"/>
      <c r="C110" s="3"/>
      <c r="D110" s="3"/>
      <c r="E110" s="3"/>
      <c r="F110" s="3"/>
      <c r="G110" s="3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4"/>
      <c r="S110" s="5"/>
      <c r="T110" s="3"/>
      <c r="U110" s="3"/>
    </row>
    <row r="111" ht="33.0" customHeight="1">
      <c r="A111" s="3"/>
      <c r="B111" s="3"/>
      <c r="C111" s="3"/>
      <c r="D111" s="3"/>
      <c r="E111" s="3"/>
      <c r="F111" s="3"/>
      <c r="G111" s="3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5"/>
      <c r="T111" s="3"/>
      <c r="U111" s="3"/>
    </row>
    <row r="112" ht="33.0" customHeight="1">
      <c r="A112" s="3"/>
      <c r="B112" s="3"/>
      <c r="C112" s="3"/>
      <c r="D112" s="3"/>
      <c r="E112" s="3"/>
      <c r="F112" s="3"/>
      <c r="G112" s="3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5"/>
      <c r="T112" s="3"/>
      <c r="U112" s="3"/>
    </row>
    <row r="113" ht="33.0" customHeight="1">
      <c r="A113" s="3"/>
      <c r="B113" s="3"/>
      <c r="C113" s="3"/>
      <c r="D113" s="3"/>
      <c r="E113" s="3"/>
      <c r="F113" s="3"/>
      <c r="G113" s="3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5"/>
      <c r="T113" s="3"/>
      <c r="U113" s="3"/>
    </row>
    <row r="114" ht="33.0" customHeight="1">
      <c r="A114" s="3"/>
      <c r="B114" s="3"/>
      <c r="C114" s="3"/>
      <c r="D114" s="3"/>
      <c r="E114" s="3"/>
      <c r="F114" s="3"/>
      <c r="G114" s="3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5"/>
      <c r="T114" s="3"/>
      <c r="U114" s="3"/>
    </row>
    <row r="115" ht="33.0" customHeight="1">
      <c r="A115" s="3"/>
      <c r="B115" s="3"/>
      <c r="C115" s="3"/>
      <c r="D115" s="3"/>
      <c r="E115" s="3"/>
      <c r="F115" s="3"/>
      <c r="G115" s="3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5"/>
      <c r="T115" s="3"/>
      <c r="U115" s="3"/>
    </row>
    <row r="116" ht="33.0" customHeight="1">
      <c r="A116" s="3"/>
      <c r="B116" s="3"/>
      <c r="C116" s="3"/>
      <c r="D116" s="3"/>
      <c r="E116" s="3"/>
      <c r="F116" s="3"/>
      <c r="G116" s="3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5"/>
      <c r="T116" s="3"/>
      <c r="U116" s="3"/>
    </row>
    <row r="117" ht="33.0" customHeight="1">
      <c r="A117" s="3"/>
      <c r="B117" s="3"/>
      <c r="C117" s="3"/>
      <c r="D117" s="3"/>
      <c r="E117" s="3"/>
      <c r="F117" s="3"/>
      <c r="G117" s="3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5"/>
      <c r="T117" s="3"/>
      <c r="U117" s="3"/>
    </row>
    <row r="118" ht="33.0" customHeight="1">
      <c r="A118" s="3"/>
      <c r="B118" s="3"/>
      <c r="C118" s="3"/>
      <c r="D118" s="3"/>
      <c r="E118" s="3"/>
      <c r="F118" s="3"/>
      <c r="G118" s="3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5"/>
      <c r="T118" s="3"/>
      <c r="U118" s="3"/>
    </row>
    <row r="119" ht="33.0" customHeight="1">
      <c r="A119" s="3"/>
      <c r="B119" s="3"/>
      <c r="C119" s="3"/>
      <c r="D119" s="3"/>
      <c r="E119" s="3"/>
      <c r="F119" s="3"/>
      <c r="G119" s="3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5"/>
      <c r="T119" s="3"/>
      <c r="U119" s="3"/>
    </row>
    <row r="120" ht="33.0" customHeight="1">
      <c r="A120" s="3"/>
      <c r="B120" s="3"/>
      <c r="C120" s="3"/>
      <c r="D120" s="3"/>
      <c r="E120" s="3"/>
      <c r="F120" s="3"/>
      <c r="G120" s="3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5"/>
      <c r="T120" s="3"/>
      <c r="U120" s="3"/>
    </row>
    <row r="121" ht="33.0" customHeight="1">
      <c r="A121" s="3"/>
      <c r="B121" s="3"/>
      <c r="C121" s="3"/>
      <c r="D121" s="3"/>
      <c r="E121" s="3"/>
      <c r="F121" s="3"/>
      <c r="G121" s="3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5"/>
      <c r="T121" s="3"/>
      <c r="U121" s="3"/>
    </row>
    <row r="122" ht="33.0" customHeight="1">
      <c r="A122" s="3"/>
      <c r="B122" s="3"/>
      <c r="C122" s="3"/>
      <c r="D122" s="3"/>
      <c r="E122" s="3"/>
      <c r="F122" s="3"/>
      <c r="G122" s="3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5"/>
      <c r="T122" s="3"/>
      <c r="U122" s="3"/>
    </row>
    <row r="123" ht="33.0" customHeight="1">
      <c r="A123" s="3"/>
      <c r="B123" s="3"/>
      <c r="C123" s="3"/>
      <c r="D123" s="3"/>
      <c r="E123" s="3"/>
      <c r="F123" s="3"/>
      <c r="G123" s="3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5"/>
      <c r="T123" s="3"/>
      <c r="U123" s="3"/>
    </row>
    <row r="124" ht="33.0" customHeight="1">
      <c r="A124" s="3"/>
      <c r="B124" s="3"/>
      <c r="C124" s="3"/>
      <c r="D124" s="3"/>
      <c r="E124" s="3"/>
      <c r="F124" s="3"/>
      <c r="G124" s="3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5"/>
      <c r="T124" s="3"/>
      <c r="U124" s="3"/>
    </row>
    <row r="125" ht="33.0" customHeight="1">
      <c r="A125" s="3"/>
      <c r="B125" s="3"/>
      <c r="C125" s="3"/>
      <c r="D125" s="3"/>
      <c r="E125" s="3"/>
      <c r="F125" s="3"/>
      <c r="G125" s="3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5"/>
      <c r="T125" s="3"/>
      <c r="U125" s="3"/>
    </row>
    <row r="126" ht="33.0" customHeight="1">
      <c r="A126" s="3"/>
      <c r="B126" s="3"/>
      <c r="C126" s="3"/>
      <c r="D126" s="3"/>
      <c r="E126" s="3"/>
      <c r="F126" s="3"/>
      <c r="G126" s="3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5"/>
      <c r="T126" s="3"/>
      <c r="U126" s="3"/>
    </row>
    <row r="127" ht="33.0" customHeight="1">
      <c r="A127" s="3"/>
      <c r="B127" s="3"/>
      <c r="C127" s="3"/>
      <c r="D127" s="3"/>
      <c r="E127" s="3"/>
      <c r="F127" s="3"/>
      <c r="G127" s="3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5"/>
      <c r="T127" s="3"/>
      <c r="U127" s="3"/>
    </row>
    <row r="128" ht="33.0" customHeight="1">
      <c r="A128" s="3"/>
      <c r="B128" s="3"/>
      <c r="C128" s="3"/>
      <c r="D128" s="3"/>
      <c r="E128" s="3"/>
      <c r="F128" s="3"/>
      <c r="G128" s="3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5"/>
      <c r="T128" s="3"/>
      <c r="U128" s="3"/>
    </row>
    <row r="129" ht="33.0" customHeight="1">
      <c r="A129" s="3"/>
      <c r="B129" s="3"/>
      <c r="C129" s="3"/>
      <c r="D129" s="3"/>
      <c r="E129" s="3"/>
      <c r="F129" s="3"/>
      <c r="G129" s="3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5"/>
      <c r="T129" s="3"/>
      <c r="U129" s="3"/>
    </row>
    <row r="130" ht="33.0" customHeight="1">
      <c r="A130" s="3"/>
      <c r="B130" s="3"/>
      <c r="C130" s="3"/>
      <c r="D130" s="3"/>
      <c r="E130" s="3"/>
      <c r="F130" s="3"/>
      <c r="G130" s="3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5"/>
      <c r="T130" s="3"/>
      <c r="U130" s="3"/>
    </row>
    <row r="131" ht="33.0" customHeight="1">
      <c r="A131" s="3"/>
      <c r="B131" s="3"/>
      <c r="C131" s="3"/>
      <c r="D131" s="3"/>
      <c r="E131" s="3"/>
      <c r="F131" s="3"/>
      <c r="G131" s="3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5"/>
      <c r="T131" s="3"/>
      <c r="U131" s="3"/>
    </row>
    <row r="132" ht="33.0" customHeight="1">
      <c r="A132" s="3"/>
      <c r="B132" s="3"/>
      <c r="C132" s="3"/>
      <c r="D132" s="3"/>
      <c r="E132" s="3"/>
      <c r="F132" s="3"/>
      <c r="G132" s="3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5"/>
      <c r="T132" s="3"/>
      <c r="U132" s="3"/>
    </row>
    <row r="133" ht="33.0" customHeight="1">
      <c r="A133" s="3"/>
      <c r="B133" s="3"/>
      <c r="C133" s="3"/>
      <c r="D133" s="3"/>
      <c r="E133" s="3"/>
      <c r="F133" s="3"/>
      <c r="G133" s="3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5"/>
      <c r="T133" s="3"/>
      <c r="U133" s="3"/>
    </row>
    <row r="134" ht="33.0" customHeight="1">
      <c r="A134" s="3"/>
      <c r="B134" s="3"/>
      <c r="C134" s="3"/>
      <c r="D134" s="3"/>
      <c r="E134" s="3"/>
      <c r="F134" s="3"/>
      <c r="G134" s="3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5"/>
      <c r="T134" s="3"/>
      <c r="U134" s="3"/>
    </row>
    <row r="135" ht="33.0" customHeight="1">
      <c r="A135" s="3"/>
      <c r="B135" s="3"/>
      <c r="C135" s="3"/>
      <c r="D135" s="3"/>
      <c r="E135" s="3"/>
      <c r="F135" s="3"/>
      <c r="G135" s="3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5"/>
      <c r="T135" s="3"/>
      <c r="U135" s="3"/>
    </row>
    <row r="136" ht="33.0" customHeight="1">
      <c r="A136" s="3"/>
      <c r="B136" s="3"/>
      <c r="C136" s="3"/>
      <c r="D136" s="3"/>
      <c r="E136" s="3"/>
      <c r="F136" s="3"/>
      <c r="G136" s="3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5"/>
      <c r="T136" s="3"/>
      <c r="U136" s="3"/>
    </row>
    <row r="137" ht="33.0" customHeight="1">
      <c r="A137" s="3"/>
      <c r="B137" s="3"/>
      <c r="C137" s="3"/>
      <c r="D137" s="3"/>
      <c r="E137" s="3"/>
      <c r="F137" s="3"/>
      <c r="G137" s="3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5"/>
      <c r="T137" s="3"/>
      <c r="U137" s="3"/>
    </row>
    <row r="138" ht="33.0" customHeight="1">
      <c r="A138" s="3"/>
      <c r="B138" s="3"/>
      <c r="C138" s="3"/>
      <c r="D138" s="3"/>
      <c r="E138" s="3"/>
      <c r="F138" s="3"/>
      <c r="G138" s="3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5"/>
      <c r="T138" s="3"/>
      <c r="U138" s="3"/>
    </row>
    <row r="139" ht="33.0" customHeight="1">
      <c r="A139" s="3"/>
      <c r="B139" s="3"/>
      <c r="C139" s="3"/>
      <c r="D139" s="3"/>
      <c r="E139" s="3"/>
      <c r="F139" s="3"/>
      <c r="G139" s="3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4"/>
      <c r="S139" s="5"/>
      <c r="T139" s="3"/>
      <c r="U139" s="3"/>
    </row>
    <row r="140" ht="33.0" customHeight="1">
      <c r="A140" s="3"/>
      <c r="B140" s="3"/>
      <c r="C140" s="3"/>
      <c r="D140" s="3"/>
      <c r="E140" s="3"/>
      <c r="F140" s="3"/>
      <c r="G140" s="3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4"/>
      <c r="S140" s="5"/>
      <c r="T140" s="3"/>
      <c r="U140" s="3"/>
    </row>
    <row r="141" ht="33.0" customHeight="1">
      <c r="A141" s="3"/>
      <c r="B141" s="3"/>
      <c r="C141" s="3"/>
      <c r="D141" s="3"/>
      <c r="E141" s="3"/>
      <c r="F141" s="3"/>
      <c r="G141" s="3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4"/>
      <c r="S141" s="5"/>
      <c r="T141" s="3"/>
      <c r="U141" s="3"/>
    </row>
    <row r="142" ht="33.0" customHeight="1">
      <c r="A142" s="3"/>
      <c r="B142" s="3"/>
      <c r="C142" s="3"/>
      <c r="D142" s="3"/>
      <c r="E142" s="3"/>
      <c r="F142" s="3"/>
      <c r="G142" s="3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5"/>
      <c r="T142" s="3"/>
      <c r="U142" s="3"/>
    </row>
    <row r="143" ht="33.0" customHeight="1">
      <c r="A143" s="3"/>
      <c r="B143" s="3"/>
      <c r="C143" s="3"/>
      <c r="D143" s="3"/>
      <c r="E143" s="3"/>
      <c r="F143" s="3"/>
      <c r="G143" s="3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4"/>
      <c r="S143" s="5"/>
      <c r="T143" s="3"/>
      <c r="U143" s="3"/>
    </row>
    <row r="144" ht="33.0" customHeight="1">
      <c r="A144" s="3"/>
      <c r="B144" s="3"/>
      <c r="C144" s="3"/>
      <c r="D144" s="3"/>
      <c r="E144" s="3"/>
      <c r="F144" s="3"/>
      <c r="G144" s="3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5"/>
      <c r="T144" s="3"/>
      <c r="U144" s="3"/>
    </row>
    <row r="145" ht="33.0" customHeight="1">
      <c r="A145" s="3"/>
      <c r="B145" s="3"/>
      <c r="C145" s="3"/>
      <c r="D145" s="3"/>
      <c r="E145" s="3"/>
      <c r="F145" s="3"/>
      <c r="G145" s="3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4"/>
      <c r="S145" s="5"/>
      <c r="T145" s="3"/>
      <c r="U145" s="3"/>
    </row>
    <row r="146" ht="33.0" customHeight="1">
      <c r="A146" s="3"/>
      <c r="B146" s="3"/>
      <c r="C146" s="3"/>
      <c r="D146" s="3"/>
      <c r="E146" s="3"/>
      <c r="F146" s="3"/>
      <c r="G146" s="3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4"/>
      <c r="S146" s="5"/>
      <c r="T146" s="3"/>
      <c r="U146" s="3"/>
    </row>
    <row r="147" ht="33.0" customHeight="1">
      <c r="A147" s="3"/>
      <c r="B147" s="3"/>
      <c r="C147" s="3"/>
      <c r="D147" s="3"/>
      <c r="E147" s="3"/>
      <c r="F147" s="3"/>
      <c r="G147" s="3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5"/>
      <c r="T147" s="3"/>
      <c r="U147" s="3"/>
    </row>
    <row r="148" ht="33.0" customHeight="1">
      <c r="A148" s="3"/>
      <c r="B148" s="3"/>
      <c r="C148" s="3"/>
      <c r="D148" s="3"/>
      <c r="E148" s="3"/>
      <c r="F148" s="3"/>
      <c r="G148" s="3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5"/>
      <c r="T148" s="3"/>
      <c r="U148" s="3"/>
    </row>
    <row r="149" ht="33.0" customHeight="1">
      <c r="A149" s="3"/>
      <c r="B149" s="3"/>
      <c r="C149" s="3"/>
      <c r="D149" s="3"/>
      <c r="E149" s="3"/>
      <c r="F149" s="3"/>
      <c r="G149" s="3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4"/>
      <c r="S149" s="5"/>
      <c r="T149" s="3"/>
      <c r="U149" s="3"/>
    </row>
    <row r="150" ht="33.0" customHeight="1">
      <c r="A150" s="3"/>
      <c r="B150" s="3"/>
      <c r="C150" s="3"/>
      <c r="D150" s="3"/>
      <c r="E150" s="3"/>
      <c r="F150" s="3"/>
      <c r="G150" s="3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4"/>
      <c r="S150" s="5"/>
      <c r="T150" s="3"/>
      <c r="U150" s="3"/>
    </row>
    <row r="151" ht="33.0" customHeight="1">
      <c r="A151" s="3"/>
      <c r="B151" s="3"/>
      <c r="C151" s="3"/>
      <c r="D151" s="3"/>
      <c r="E151" s="3"/>
      <c r="F151" s="3"/>
      <c r="G151" s="3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5"/>
      <c r="T151" s="3"/>
      <c r="U151" s="3"/>
    </row>
    <row r="152" ht="33.0" customHeight="1">
      <c r="A152" s="3"/>
      <c r="B152" s="3"/>
      <c r="C152" s="3"/>
      <c r="D152" s="3"/>
      <c r="E152" s="3"/>
      <c r="F152" s="3"/>
      <c r="G152" s="3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5"/>
      <c r="T152" s="3"/>
      <c r="U152" s="3"/>
    </row>
    <row r="153" ht="33.0" customHeight="1">
      <c r="A153" s="3"/>
      <c r="B153" s="3"/>
      <c r="C153" s="3"/>
      <c r="D153" s="3"/>
      <c r="E153" s="3"/>
      <c r="F153" s="3"/>
      <c r="G153" s="3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5"/>
      <c r="T153" s="3"/>
      <c r="U153" s="3"/>
    </row>
    <row r="154" ht="33.0" customHeight="1">
      <c r="A154" s="3"/>
      <c r="B154" s="3"/>
      <c r="C154" s="3"/>
      <c r="D154" s="3"/>
      <c r="E154" s="3"/>
      <c r="F154" s="3"/>
      <c r="G154" s="3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5"/>
      <c r="T154" s="3"/>
      <c r="U154" s="3"/>
    </row>
    <row r="155" ht="33.0" customHeight="1">
      <c r="A155" s="3"/>
      <c r="B155" s="3"/>
      <c r="C155" s="3"/>
      <c r="D155" s="3"/>
      <c r="E155" s="3"/>
      <c r="F155" s="3"/>
      <c r="G155" s="3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5"/>
      <c r="T155" s="3"/>
      <c r="U155" s="3"/>
    </row>
    <row r="156" ht="33.0" customHeight="1">
      <c r="A156" s="3"/>
      <c r="B156" s="3"/>
      <c r="C156" s="3"/>
      <c r="D156" s="3"/>
      <c r="E156" s="3"/>
      <c r="F156" s="3"/>
      <c r="G156" s="3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5"/>
      <c r="T156" s="3"/>
      <c r="U156" s="3"/>
    </row>
    <row r="157" ht="33.0" customHeight="1">
      <c r="A157" s="3"/>
      <c r="B157" s="3"/>
      <c r="C157" s="3"/>
      <c r="D157" s="3"/>
      <c r="E157" s="3"/>
      <c r="F157" s="3"/>
      <c r="G157" s="3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5"/>
      <c r="T157" s="3"/>
      <c r="U157" s="3"/>
    </row>
    <row r="158" ht="33.0" customHeight="1">
      <c r="A158" s="3"/>
      <c r="B158" s="3"/>
      <c r="C158" s="3"/>
      <c r="D158" s="3"/>
      <c r="E158" s="3"/>
      <c r="F158" s="3"/>
      <c r="G158" s="3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5"/>
      <c r="T158" s="3"/>
      <c r="U158" s="3"/>
    </row>
    <row r="159" ht="33.0" customHeight="1">
      <c r="A159" s="3"/>
      <c r="B159" s="3"/>
      <c r="C159" s="3"/>
      <c r="D159" s="3"/>
      <c r="E159" s="3"/>
      <c r="F159" s="3"/>
      <c r="G159" s="3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5"/>
      <c r="T159" s="3"/>
      <c r="U159" s="3"/>
    </row>
    <row r="160" ht="33.0" customHeight="1">
      <c r="A160" s="3"/>
      <c r="B160" s="3"/>
      <c r="C160" s="3"/>
      <c r="D160" s="3"/>
      <c r="E160" s="3"/>
      <c r="F160" s="3"/>
      <c r="G160" s="3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5"/>
      <c r="T160" s="3"/>
      <c r="U160" s="3"/>
    </row>
    <row r="161" ht="33.0" customHeight="1">
      <c r="A161" s="3"/>
      <c r="B161" s="3"/>
      <c r="C161" s="3"/>
      <c r="D161" s="3"/>
      <c r="E161" s="3"/>
      <c r="F161" s="3"/>
      <c r="G161" s="3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5"/>
      <c r="T161" s="3"/>
      <c r="U161" s="3"/>
    </row>
    <row r="162" ht="33.0" customHeight="1">
      <c r="A162" s="3"/>
      <c r="B162" s="3"/>
      <c r="C162" s="3"/>
      <c r="D162" s="3"/>
      <c r="E162" s="3"/>
      <c r="F162" s="3"/>
      <c r="G162" s="3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5"/>
      <c r="T162" s="3"/>
      <c r="U162" s="3"/>
    </row>
    <row r="163" ht="33.0" customHeight="1">
      <c r="A163" s="3"/>
      <c r="B163" s="3"/>
      <c r="C163" s="3"/>
      <c r="D163" s="3"/>
      <c r="E163" s="3"/>
      <c r="F163" s="3"/>
      <c r="G163" s="3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5"/>
      <c r="T163" s="3"/>
      <c r="U163" s="3"/>
    </row>
    <row r="164" ht="33.0" customHeight="1">
      <c r="A164" s="3"/>
      <c r="B164" s="3"/>
      <c r="C164" s="3"/>
      <c r="D164" s="3"/>
      <c r="E164" s="3"/>
      <c r="F164" s="3"/>
      <c r="G164" s="3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5"/>
      <c r="T164" s="3"/>
      <c r="U164" s="3"/>
    </row>
    <row r="165" ht="33.0" customHeight="1">
      <c r="A165" s="3"/>
      <c r="B165" s="3"/>
      <c r="C165" s="3"/>
      <c r="D165" s="3"/>
      <c r="E165" s="3"/>
      <c r="F165" s="3"/>
      <c r="G165" s="3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5"/>
      <c r="T165" s="3"/>
      <c r="U165" s="3"/>
    </row>
    <row r="166" ht="33.0" customHeight="1">
      <c r="A166" s="3"/>
      <c r="B166" s="3"/>
      <c r="C166" s="3"/>
      <c r="D166" s="3"/>
      <c r="E166" s="3"/>
      <c r="F166" s="3"/>
      <c r="G166" s="3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5"/>
      <c r="T166" s="3"/>
      <c r="U166" s="3"/>
    </row>
    <row r="167" ht="33.0" customHeight="1">
      <c r="A167" s="3"/>
      <c r="B167" s="3"/>
      <c r="C167" s="3"/>
      <c r="D167" s="3"/>
      <c r="E167" s="3"/>
      <c r="F167" s="3"/>
      <c r="G167" s="3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5"/>
      <c r="T167" s="3"/>
      <c r="U167" s="3"/>
    </row>
    <row r="168" ht="33.0" customHeight="1">
      <c r="A168" s="3"/>
      <c r="B168" s="3"/>
      <c r="C168" s="3"/>
      <c r="D168" s="3"/>
      <c r="E168" s="3"/>
      <c r="F168" s="3"/>
      <c r="G168" s="3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5"/>
      <c r="T168" s="3"/>
      <c r="U168" s="3"/>
    </row>
    <row r="169" ht="33.0" customHeight="1">
      <c r="A169" s="3"/>
      <c r="B169" s="3"/>
      <c r="C169" s="3"/>
      <c r="D169" s="3"/>
      <c r="E169" s="3"/>
      <c r="F169" s="3"/>
      <c r="G169" s="3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5"/>
      <c r="T169" s="3"/>
      <c r="U169" s="3"/>
    </row>
    <row r="170" ht="33.0" customHeight="1">
      <c r="A170" s="3"/>
      <c r="B170" s="3"/>
      <c r="C170" s="3"/>
      <c r="D170" s="3"/>
      <c r="E170" s="3"/>
      <c r="F170" s="3"/>
      <c r="G170" s="3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5"/>
      <c r="T170" s="3"/>
      <c r="U170" s="3"/>
    </row>
    <row r="171" ht="33.0" customHeight="1">
      <c r="A171" s="3"/>
      <c r="B171" s="3"/>
      <c r="C171" s="3"/>
      <c r="D171" s="3"/>
      <c r="E171" s="3"/>
      <c r="F171" s="3"/>
      <c r="G171" s="3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5"/>
      <c r="T171" s="3"/>
      <c r="U171" s="3"/>
    </row>
    <row r="172" ht="33.0" customHeight="1">
      <c r="A172" s="3"/>
      <c r="B172" s="3"/>
      <c r="C172" s="3"/>
      <c r="D172" s="3"/>
      <c r="E172" s="3"/>
      <c r="F172" s="3"/>
      <c r="G172" s="3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5"/>
      <c r="T172" s="3"/>
      <c r="U172" s="3"/>
    </row>
    <row r="173" ht="33.0" customHeight="1">
      <c r="A173" s="3"/>
      <c r="B173" s="3"/>
      <c r="C173" s="3"/>
      <c r="D173" s="3"/>
      <c r="E173" s="3"/>
      <c r="F173" s="3"/>
      <c r="G173" s="3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5"/>
      <c r="T173" s="3"/>
      <c r="U173" s="3"/>
    </row>
    <row r="174" ht="33.0" customHeight="1">
      <c r="A174" s="3"/>
      <c r="B174" s="3"/>
      <c r="C174" s="3"/>
      <c r="D174" s="3"/>
      <c r="E174" s="3"/>
      <c r="F174" s="3"/>
      <c r="G174" s="3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5"/>
      <c r="T174" s="3"/>
      <c r="U174" s="3"/>
    </row>
    <row r="175" ht="33.0" customHeight="1">
      <c r="A175" s="3"/>
      <c r="B175" s="3"/>
      <c r="C175" s="3"/>
      <c r="D175" s="3"/>
      <c r="E175" s="3"/>
      <c r="F175" s="3"/>
      <c r="G175" s="3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5"/>
      <c r="T175" s="3"/>
      <c r="U175" s="3"/>
    </row>
    <row r="176" ht="33.0" customHeight="1">
      <c r="A176" s="3"/>
      <c r="B176" s="3"/>
      <c r="C176" s="3"/>
      <c r="D176" s="3"/>
      <c r="E176" s="3"/>
      <c r="F176" s="3"/>
      <c r="G176" s="3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5"/>
      <c r="T176" s="3"/>
      <c r="U176" s="3"/>
    </row>
    <row r="177" ht="33.0" customHeight="1">
      <c r="A177" s="3"/>
      <c r="B177" s="3"/>
      <c r="C177" s="3"/>
      <c r="D177" s="3"/>
      <c r="E177" s="3"/>
      <c r="F177" s="3"/>
      <c r="G177" s="3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5"/>
      <c r="T177" s="3"/>
      <c r="U177" s="3"/>
    </row>
    <row r="178" ht="33.0" customHeight="1">
      <c r="A178" s="3"/>
      <c r="B178" s="3"/>
      <c r="C178" s="3"/>
      <c r="D178" s="3"/>
      <c r="E178" s="3"/>
      <c r="F178" s="3"/>
      <c r="G178" s="3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5"/>
      <c r="T178" s="3"/>
      <c r="U178" s="3"/>
    </row>
    <row r="179" ht="33.0" customHeight="1">
      <c r="A179" s="3"/>
      <c r="B179" s="3"/>
      <c r="C179" s="3"/>
      <c r="D179" s="3"/>
      <c r="E179" s="3"/>
      <c r="F179" s="3"/>
      <c r="G179" s="3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5"/>
      <c r="T179" s="3"/>
      <c r="U179" s="3"/>
    </row>
    <row r="180" ht="33.0" customHeight="1">
      <c r="A180" s="3"/>
      <c r="B180" s="3"/>
      <c r="C180" s="3"/>
      <c r="D180" s="3"/>
      <c r="E180" s="3"/>
      <c r="F180" s="3"/>
      <c r="G180" s="3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5"/>
      <c r="T180" s="3"/>
      <c r="U180" s="3"/>
    </row>
    <row r="181" ht="33.0" customHeight="1">
      <c r="A181" s="3"/>
      <c r="B181" s="3"/>
      <c r="C181" s="3"/>
      <c r="D181" s="3"/>
      <c r="E181" s="3"/>
      <c r="F181" s="3"/>
      <c r="G181" s="3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5"/>
      <c r="T181" s="3"/>
      <c r="U181" s="3"/>
    </row>
    <row r="182" ht="33.0" customHeight="1">
      <c r="A182" s="3"/>
      <c r="B182" s="3"/>
      <c r="C182" s="3"/>
      <c r="D182" s="3"/>
      <c r="E182" s="3"/>
      <c r="F182" s="3"/>
      <c r="G182" s="3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5"/>
      <c r="T182" s="3"/>
      <c r="U182" s="3"/>
    </row>
    <row r="183" ht="33.0" customHeight="1">
      <c r="A183" s="3"/>
      <c r="B183" s="3"/>
      <c r="C183" s="3"/>
      <c r="D183" s="3"/>
      <c r="E183" s="3"/>
      <c r="F183" s="3"/>
      <c r="G183" s="3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5"/>
      <c r="T183" s="3"/>
      <c r="U183" s="3"/>
    </row>
    <row r="184" ht="33.0" customHeight="1">
      <c r="A184" s="3"/>
      <c r="B184" s="3"/>
      <c r="C184" s="3"/>
      <c r="D184" s="3"/>
      <c r="E184" s="3"/>
      <c r="F184" s="3"/>
      <c r="G184" s="3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5"/>
      <c r="T184" s="3"/>
      <c r="U184" s="3"/>
    </row>
    <row r="185" ht="33.0" customHeight="1">
      <c r="A185" s="3"/>
      <c r="B185" s="3"/>
      <c r="C185" s="3"/>
      <c r="D185" s="3"/>
      <c r="E185" s="3"/>
      <c r="F185" s="3"/>
      <c r="G185" s="3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5"/>
      <c r="T185" s="3"/>
      <c r="U185" s="3"/>
    </row>
    <row r="186" ht="33.0" customHeight="1">
      <c r="A186" s="3"/>
      <c r="B186" s="3"/>
      <c r="C186" s="3"/>
      <c r="D186" s="3"/>
      <c r="E186" s="3"/>
      <c r="F186" s="3"/>
      <c r="G186" s="3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5"/>
      <c r="T186" s="3"/>
      <c r="U186" s="3"/>
    </row>
    <row r="187" ht="33.0" customHeight="1">
      <c r="A187" s="3"/>
      <c r="B187" s="3"/>
      <c r="C187" s="3"/>
      <c r="D187" s="3"/>
      <c r="E187" s="3"/>
      <c r="F187" s="3"/>
      <c r="G187" s="3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5"/>
      <c r="T187" s="3"/>
      <c r="U187" s="3"/>
    </row>
    <row r="188" ht="33.0" customHeight="1">
      <c r="A188" s="3"/>
      <c r="B188" s="3"/>
      <c r="C188" s="3"/>
      <c r="D188" s="3"/>
      <c r="E188" s="3"/>
      <c r="F188" s="3"/>
      <c r="G188" s="3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5"/>
      <c r="T188" s="3"/>
      <c r="U188" s="3"/>
    </row>
    <row r="189" ht="33.0" customHeight="1">
      <c r="A189" s="3"/>
      <c r="B189" s="3"/>
      <c r="C189" s="3"/>
      <c r="D189" s="3"/>
      <c r="E189" s="3"/>
      <c r="F189" s="3"/>
      <c r="G189" s="3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5"/>
      <c r="T189" s="3"/>
      <c r="U189" s="3"/>
    </row>
    <row r="190" ht="33.0" customHeight="1">
      <c r="A190" s="3"/>
      <c r="B190" s="3"/>
      <c r="C190" s="3"/>
      <c r="D190" s="3"/>
      <c r="E190" s="3"/>
      <c r="F190" s="3"/>
      <c r="G190" s="3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5"/>
      <c r="T190" s="3"/>
      <c r="U190" s="3"/>
    </row>
    <row r="191" ht="33.0" customHeight="1">
      <c r="A191" s="3"/>
      <c r="B191" s="3"/>
      <c r="C191" s="3"/>
      <c r="D191" s="3"/>
      <c r="E191" s="3"/>
      <c r="F191" s="3"/>
      <c r="G191" s="3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5"/>
      <c r="T191" s="3"/>
      <c r="U191" s="3"/>
    </row>
    <row r="192" ht="33.0" customHeight="1">
      <c r="A192" s="3"/>
      <c r="B192" s="3"/>
      <c r="C192" s="3"/>
      <c r="D192" s="3"/>
      <c r="E192" s="3"/>
      <c r="F192" s="3"/>
      <c r="G192" s="3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5"/>
      <c r="T192" s="3"/>
      <c r="U192" s="3"/>
    </row>
    <row r="193" ht="33.0" customHeight="1">
      <c r="A193" s="3"/>
      <c r="B193" s="3"/>
      <c r="C193" s="3"/>
      <c r="D193" s="3"/>
      <c r="E193" s="3"/>
      <c r="F193" s="3"/>
      <c r="G193" s="3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5"/>
      <c r="T193" s="3"/>
      <c r="U193" s="3"/>
    </row>
    <row r="194" ht="33.0" customHeight="1">
      <c r="A194" s="3"/>
      <c r="B194" s="3"/>
      <c r="C194" s="3"/>
      <c r="D194" s="3"/>
      <c r="E194" s="3"/>
      <c r="F194" s="3"/>
      <c r="G194" s="3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5"/>
      <c r="T194" s="3"/>
      <c r="U194" s="3"/>
    </row>
    <row r="195" ht="33.0" customHeight="1">
      <c r="A195" s="3"/>
      <c r="B195" s="3"/>
      <c r="C195" s="3"/>
      <c r="D195" s="3"/>
      <c r="E195" s="3"/>
      <c r="F195" s="3"/>
      <c r="G195" s="3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5"/>
      <c r="T195" s="3"/>
      <c r="U195" s="3"/>
    </row>
    <row r="196" ht="33.0" customHeight="1">
      <c r="A196" s="3"/>
      <c r="B196" s="3"/>
      <c r="C196" s="3"/>
      <c r="D196" s="3"/>
      <c r="E196" s="3"/>
      <c r="F196" s="3"/>
      <c r="G196" s="3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5"/>
      <c r="T196" s="3"/>
      <c r="U196" s="3"/>
    </row>
    <row r="197" ht="33.0" customHeight="1">
      <c r="A197" s="3"/>
      <c r="B197" s="3"/>
      <c r="C197" s="3"/>
      <c r="D197" s="3"/>
      <c r="E197" s="3"/>
      <c r="F197" s="3"/>
      <c r="G197" s="3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5"/>
      <c r="T197" s="3"/>
      <c r="U197" s="3"/>
    </row>
    <row r="198" ht="33.0" customHeight="1">
      <c r="A198" s="3"/>
      <c r="B198" s="3"/>
      <c r="C198" s="3"/>
      <c r="D198" s="3"/>
      <c r="E198" s="3"/>
      <c r="F198" s="3"/>
      <c r="G198" s="3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5"/>
      <c r="T198" s="3"/>
      <c r="U198" s="3"/>
    </row>
    <row r="199" ht="33.0" customHeight="1">
      <c r="A199" s="3"/>
      <c r="B199" s="3"/>
      <c r="C199" s="3"/>
      <c r="D199" s="3"/>
      <c r="E199" s="3"/>
      <c r="F199" s="3"/>
      <c r="G199" s="3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5"/>
      <c r="T199" s="3"/>
      <c r="U199" s="3"/>
    </row>
    <row r="200" ht="33.0" customHeight="1">
      <c r="A200" s="3"/>
      <c r="B200" s="3"/>
      <c r="C200" s="3"/>
      <c r="D200" s="3"/>
      <c r="E200" s="3"/>
      <c r="F200" s="3"/>
      <c r="G200" s="3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5"/>
      <c r="T200" s="3"/>
      <c r="U200" s="3"/>
    </row>
    <row r="201" ht="33.0" customHeight="1">
      <c r="A201" s="3"/>
      <c r="B201" s="3"/>
      <c r="C201" s="3"/>
      <c r="D201" s="3"/>
      <c r="E201" s="3"/>
      <c r="F201" s="3"/>
      <c r="G201" s="3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5"/>
      <c r="T201" s="3"/>
      <c r="U201" s="3"/>
    </row>
    <row r="202" ht="33.0" customHeight="1">
      <c r="A202" s="3"/>
      <c r="B202" s="3"/>
      <c r="C202" s="3"/>
      <c r="D202" s="3"/>
      <c r="E202" s="3"/>
      <c r="F202" s="3"/>
      <c r="G202" s="3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5"/>
      <c r="T202" s="3"/>
      <c r="U202" s="3"/>
    </row>
    <row r="203" ht="33.0" customHeight="1">
      <c r="A203" s="3"/>
      <c r="B203" s="3"/>
      <c r="C203" s="3"/>
      <c r="D203" s="3"/>
      <c r="E203" s="3"/>
      <c r="F203" s="3"/>
      <c r="G203" s="3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5"/>
      <c r="T203" s="3"/>
      <c r="U203" s="3"/>
    </row>
    <row r="204" ht="33.0" customHeight="1">
      <c r="A204" s="3"/>
      <c r="B204" s="3"/>
      <c r="C204" s="3"/>
      <c r="D204" s="3"/>
      <c r="E204" s="3"/>
      <c r="F204" s="3"/>
      <c r="G204" s="3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5"/>
      <c r="T204" s="3"/>
      <c r="U204" s="3"/>
    </row>
    <row r="205" ht="33.0" customHeight="1">
      <c r="A205" s="3"/>
      <c r="B205" s="3"/>
      <c r="C205" s="3"/>
      <c r="D205" s="3"/>
      <c r="E205" s="3"/>
      <c r="F205" s="3"/>
      <c r="G205" s="3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5"/>
      <c r="T205" s="3"/>
      <c r="U205" s="3"/>
    </row>
    <row r="206" ht="33.0" customHeight="1">
      <c r="A206" s="3"/>
      <c r="B206" s="3"/>
      <c r="C206" s="3"/>
      <c r="D206" s="3"/>
      <c r="E206" s="3"/>
      <c r="F206" s="3"/>
      <c r="G206" s="3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5"/>
      <c r="T206" s="3"/>
      <c r="U206" s="3"/>
    </row>
    <row r="207" ht="33.0" customHeight="1">
      <c r="A207" s="3"/>
      <c r="B207" s="3"/>
      <c r="C207" s="3"/>
      <c r="D207" s="3"/>
      <c r="E207" s="3"/>
      <c r="F207" s="3"/>
      <c r="G207" s="3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5"/>
      <c r="T207" s="3"/>
      <c r="U207" s="3"/>
    </row>
    <row r="208" ht="33.0" customHeight="1">
      <c r="A208" s="3"/>
      <c r="B208" s="3"/>
      <c r="C208" s="3"/>
      <c r="D208" s="3"/>
      <c r="E208" s="3"/>
      <c r="F208" s="3"/>
      <c r="G208" s="3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5"/>
      <c r="T208" s="3"/>
      <c r="U208" s="3"/>
    </row>
    <row r="209" ht="33.0" customHeight="1">
      <c r="A209" s="3"/>
      <c r="B209" s="3"/>
      <c r="C209" s="3"/>
      <c r="D209" s="3"/>
      <c r="E209" s="3"/>
      <c r="F209" s="3"/>
      <c r="G209" s="3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5"/>
      <c r="T209" s="3"/>
      <c r="U209" s="3"/>
    </row>
    <row r="210" ht="33.0" customHeight="1">
      <c r="A210" s="3"/>
      <c r="B210" s="3"/>
      <c r="C210" s="3"/>
      <c r="D210" s="3"/>
      <c r="E210" s="3"/>
      <c r="F210" s="3"/>
      <c r="G210" s="3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5"/>
      <c r="T210" s="3"/>
      <c r="U210" s="3"/>
    </row>
    <row r="211" ht="33.0" customHeight="1">
      <c r="A211" s="3"/>
      <c r="B211" s="3"/>
      <c r="C211" s="3"/>
      <c r="D211" s="3"/>
      <c r="E211" s="3"/>
      <c r="F211" s="3"/>
      <c r="G211" s="3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5"/>
      <c r="T211" s="3"/>
      <c r="U211" s="3"/>
    </row>
    <row r="212" ht="33.0" customHeight="1">
      <c r="A212" s="3"/>
      <c r="B212" s="3"/>
      <c r="C212" s="3"/>
      <c r="D212" s="3"/>
      <c r="E212" s="3"/>
      <c r="F212" s="3"/>
      <c r="G212" s="3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5"/>
      <c r="T212" s="3"/>
      <c r="U212" s="3"/>
    </row>
    <row r="213" ht="33.0" customHeight="1">
      <c r="A213" s="3"/>
      <c r="B213" s="3"/>
      <c r="C213" s="3"/>
      <c r="D213" s="3"/>
      <c r="E213" s="3"/>
      <c r="F213" s="3"/>
      <c r="G213" s="3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5"/>
      <c r="T213" s="3"/>
      <c r="U213" s="3"/>
    </row>
    <row r="214" ht="33.0" customHeight="1">
      <c r="A214" s="3"/>
      <c r="B214" s="3"/>
      <c r="C214" s="3"/>
      <c r="D214" s="3"/>
      <c r="E214" s="3"/>
      <c r="F214" s="3"/>
      <c r="G214" s="3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5"/>
      <c r="T214" s="3"/>
      <c r="U214" s="3"/>
    </row>
    <row r="215" ht="33.0" customHeight="1">
      <c r="A215" s="3"/>
      <c r="B215" s="3"/>
      <c r="C215" s="3"/>
      <c r="D215" s="3"/>
      <c r="E215" s="3"/>
      <c r="F215" s="3"/>
      <c r="G215" s="3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5"/>
      <c r="T215" s="3"/>
      <c r="U215" s="3"/>
    </row>
    <row r="216" ht="33.0" customHeight="1">
      <c r="A216" s="3"/>
      <c r="B216" s="3"/>
      <c r="C216" s="3"/>
      <c r="D216" s="3"/>
      <c r="E216" s="3"/>
      <c r="F216" s="3"/>
      <c r="G216" s="3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5"/>
      <c r="T216" s="3"/>
      <c r="U216" s="3"/>
    </row>
    <row r="217" ht="33.0" customHeight="1">
      <c r="A217" s="3"/>
      <c r="B217" s="3"/>
      <c r="C217" s="3"/>
      <c r="D217" s="3"/>
      <c r="E217" s="3"/>
      <c r="F217" s="3"/>
      <c r="G217" s="3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5"/>
      <c r="T217" s="3"/>
      <c r="U217" s="3"/>
    </row>
    <row r="218" ht="33.0" customHeight="1">
      <c r="A218" s="3"/>
      <c r="B218" s="3"/>
      <c r="C218" s="3"/>
      <c r="D218" s="3"/>
      <c r="E218" s="3"/>
      <c r="F218" s="3"/>
      <c r="G218" s="3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5"/>
      <c r="T218" s="3"/>
      <c r="U218" s="3"/>
    </row>
    <row r="219" ht="33.0" customHeight="1">
      <c r="A219" s="3"/>
      <c r="B219" s="3"/>
      <c r="C219" s="3"/>
      <c r="D219" s="3"/>
      <c r="E219" s="3"/>
      <c r="F219" s="3"/>
      <c r="G219" s="3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5"/>
      <c r="T219" s="3"/>
      <c r="U219" s="3"/>
    </row>
    <row r="220" ht="33.0" customHeight="1">
      <c r="A220" s="3"/>
      <c r="B220" s="3"/>
      <c r="C220" s="3"/>
      <c r="D220" s="3"/>
      <c r="E220" s="3"/>
      <c r="F220" s="3"/>
      <c r="G220" s="3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5"/>
      <c r="T220" s="3"/>
      <c r="U220" s="3"/>
    </row>
    <row r="221" ht="33.0" customHeight="1">
      <c r="A221" s="3"/>
      <c r="B221" s="3"/>
      <c r="C221" s="3"/>
      <c r="D221" s="3"/>
      <c r="E221" s="3"/>
      <c r="F221" s="3"/>
      <c r="G221" s="3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5"/>
      <c r="T221" s="3"/>
      <c r="U221" s="3"/>
    </row>
    <row r="222" ht="33.0" customHeight="1">
      <c r="A222" s="3"/>
      <c r="B222" s="3"/>
      <c r="C222" s="3"/>
      <c r="D222" s="3"/>
      <c r="E222" s="3"/>
      <c r="F222" s="3"/>
      <c r="G222" s="3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5"/>
      <c r="T222" s="3"/>
      <c r="U222" s="3"/>
    </row>
    <row r="223" ht="33.0" customHeight="1">
      <c r="A223" s="3"/>
      <c r="B223" s="3"/>
      <c r="C223" s="3"/>
      <c r="D223" s="3"/>
      <c r="E223" s="3"/>
      <c r="F223" s="3"/>
      <c r="G223" s="3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5"/>
      <c r="T223" s="3"/>
      <c r="U223" s="3"/>
    </row>
    <row r="224" ht="33.0" customHeight="1">
      <c r="A224" s="3"/>
      <c r="B224" s="3"/>
      <c r="C224" s="3"/>
      <c r="D224" s="3"/>
      <c r="E224" s="3"/>
      <c r="F224" s="3"/>
      <c r="G224" s="3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5"/>
      <c r="T224" s="3"/>
      <c r="U224" s="3"/>
    </row>
    <row r="225" ht="33.0" customHeight="1">
      <c r="A225" s="3"/>
      <c r="B225" s="3"/>
      <c r="C225" s="3"/>
      <c r="D225" s="3"/>
      <c r="E225" s="3"/>
      <c r="F225" s="3"/>
      <c r="G225" s="3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5"/>
      <c r="T225" s="3"/>
      <c r="U225" s="3"/>
    </row>
    <row r="226" ht="33.0" customHeight="1">
      <c r="A226" s="3"/>
      <c r="B226" s="3"/>
      <c r="C226" s="3"/>
      <c r="D226" s="3"/>
      <c r="E226" s="3"/>
      <c r="F226" s="3"/>
      <c r="G226" s="3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5"/>
      <c r="T226" s="3"/>
      <c r="U226" s="3"/>
    </row>
    <row r="227" ht="33.0" customHeight="1">
      <c r="A227" s="3"/>
      <c r="B227" s="3"/>
      <c r="C227" s="3"/>
      <c r="D227" s="3"/>
      <c r="E227" s="3"/>
      <c r="F227" s="3"/>
      <c r="G227" s="3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5"/>
      <c r="T227" s="3"/>
      <c r="U227" s="3"/>
    </row>
    <row r="228" ht="33.0" customHeight="1">
      <c r="A228" s="3"/>
      <c r="B228" s="3"/>
      <c r="C228" s="3"/>
      <c r="D228" s="3"/>
      <c r="E228" s="3"/>
      <c r="F228" s="3"/>
      <c r="G228" s="3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5"/>
      <c r="T228" s="3"/>
      <c r="U228" s="3"/>
    </row>
    <row r="229" ht="33.0" customHeight="1">
      <c r="A229" s="3"/>
      <c r="B229" s="3"/>
      <c r="C229" s="3"/>
      <c r="D229" s="3"/>
      <c r="E229" s="3"/>
      <c r="F229" s="3"/>
      <c r="G229" s="3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5"/>
      <c r="T229" s="3"/>
      <c r="U229" s="3"/>
    </row>
    <row r="230" ht="33.0" customHeight="1">
      <c r="A230" s="3"/>
      <c r="B230" s="3"/>
      <c r="C230" s="3"/>
      <c r="D230" s="3"/>
      <c r="E230" s="3"/>
      <c r="F230" s="3"/>
      <c r="G230" s="3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5"/>
      <c r="T230" s="3"/>
      <c r="U230" s="3"/>
    </row>
    <row r="231" ht="33.0" customHeight="1">
      <c r="A231" s="3"/>
      <c r="B231" s="3"/>
      <c r="C231" s="3"/>
      <c r="D231" s="3"/>
      <c r="E231" s="3"/>
      <c r="F231" s="3"/>
      <c r="G231" s="3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5"/>
      <c r="T231" s="3"/>
      <c r="U231" s="3"/>
    </row>
    <row r="232" ht="33.0" customHeight="1">
      <c r="A232" s="3"/>
      <c r="B232" s="3"/>
      <c r="C232" s="3"/>
      <c r="D232" s="3"/>
      <c r="E232" s="3"/>
      <c r="F232" s="3"/>
      <c r="G232" s="3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5"/>
      <c r="T232" s="3"/>
      <c r="U232" s="3"/>
    </row>
    <row r="233" ht="33.0" customHeight="1">
      <c r="A233" s="3"/>
      <c r="B233" s="3"/>
      <c r="C233" s="3"/>
      <c r="D233" s="3"/>
      <c r="E233" s="3"/>
      <c r="F233" s="3"/>
      <c r="G233" s="3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5"/>
      <c r="T233" s="3"/>
      <c r="U233" s="3"/>
    </row>
    <row r="234" ht="33.0" customHeight="1">
      <c r="A234" s="3"/>
      <c r="B234" s="3"/>
      <c r="C234" s="3"/>
      <c r="D234" s="3"/>
      <c r="E234" s="3"/>
      <c r="F234" s="3"/>
      <c r="G234" s="3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5"/>
      <c r="T234" s="3"/>
      <c r="U234" s="3"/>
    </row>
    <row r="235" ht="33.0" customHeight="1">
      <c r="A235" s="3"/>
      <c r="B235" s="3"/>
      <c r="C235" s="3"/>
      <c r="D235" s="3"/>
      <c r="E235" s="3"/>
      <c r="F235" s="3"/>
      <c r="G235" s="3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5"/>
      <c r="T235" s="3"/>
      <c r="U235" s="3"/>
    </row>
    <row r="236" ht="33.0" customHeight="1">
      <c r="A236" s="3"/>
      <c r="B236" s="3"/>
      <c r="C236" s="3"/>
      <c r="D236" s="3"/>
      <c r="E236" s="3"/>
      <c r="F236" s="3"/>
      <c r="G236" s="3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5"/>
      <c r="T236" s="3"/>
      <c r="U236" s="3"/>
    </row>
    <row r="237" ht="33.0" customHeight="1">
      <c r="A237" s="3"/>
      <c r="B237" s="3"/>
      <c r="C237" s="3"/>
      <c r="D237" s="3"/>
      <c r="E237" s="3"/>
      <c r="F237" s="3"/>
      <c r="G237" s="3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5"/>
      <c r="T237" s="3"/>
      <c r="U237" s="3"/>
    </row>
    <row r="238" ht="33.0" customHeight="1">
      <c r="A238" s="3"/>
      <c r="B238" s="3"/>
      <c r="C238" s="3"/>
      <c r="D238" s="3"/>
      <c r="E238" s="3"/>
      <c r="F238" s="3"/>
      <c r="G238" s="3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5"/>
      <c r="T238" s="3"/>
      <c r="U238" s="3"/>
    </row>
    <row r="239" ht="33.0" customHeight="1">
      <c r="A239" s="3"/>
      <c r="B239" s="3"/>
      <c r="C239" s="3"/>
      <c r="D239" s="3"/>
      <c r="E239" s="3"/>
      <c r="F239" s="3"/>
      <c r="G239" s="3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5"/>
      <c r="T239" s="3"/>
      <c r="U239" s="3"/>
    </row>
    <row r="240" ht="33.0" customHeight="1">
      <c r="A240" s="3"/>
      <c r="B240" s="3"/>
      <c r="C240" s="3"/>
      <c r="D240" s="3"/>
      <c r="E240" s="3"/>
      <c r="F240" s="3"/>
      <c r="G240" s="3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5"/>
      <c r="T240" s="3"/>
      <c r="U240" s="3"/>
    </row>
    <row r="241" ht="33.0" customHeight="1">
      <c r="A241" s="3"/>
      <c r="B241" s="3"/>
      <c r="C241" s="3"/>
      <c r="D241" s="3"/>
      <c r="E241" s="3"/>
      <c r="F241" s="3"/>
      <c r="G241" s="3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5"/>
      <c r="T241" s="3"/>
      <c r="U241" s="3"/>
    </row>
    <row r="242" ht="33.0" customHeight="1">
      <c r="A242" s="3"/>
      <c r="B242" s="3"/>
      <c r="C242" s="3"/>
      <c r="D242" s="3"/>
      <c r="E242" s="3"/>
      <c r="F242" s="3"/>
      <c r="G242" s="3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5"/>
      <c r="T242" s="3"/>
      <c r="U242" s="3"/>
    </row>
    <row r="243" ht="33.0" customHeight="1">
      <c r="A243" s="3"/>
      <c r="B243" s="3"/>
      <c r="C243" s="3"/>
      <c r="D243" s="3"/>
      <c r="E243" s="3"/>
      <c r="F243" s="3"/>
      <c r="G243" s="3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5"/>
      <c r="T243" s="3"/>
      <c r="U243" s="3"/>
    </row>
    <row r="244" ht="33.0" customHeight="1">
      <c r="A244" s="3"/>
      <c r="B244" s="3"/>
      <c r="C244" s="3"/>
      <c r="D244" s="3"/>
      <c r="E244" s="3"/>
      <c r="F244" s="3"/>
      <c r="G244" s="3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5"/>
      <c r="T244" s="3"/>
      <c r="U244" s="3"/>
    </row>
    <row r="245" ht="33.0" customHeight="1">
      <c r="A245" s="3"/>
      <c r="B245" s="3"/>
      <c r="C245" s="3"/>
      <c r="D245" s="3"/>
      <c r="E245" s="3"/>
      <c r="F245" s="3"/>
      <c r="G245" s="3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4"/>
      <c r="S245" s="5"/>
      <c r="T245" s="3"/>
      <c r="U245" s="3"/>
    </row>
    <row r="246" ht="33.0" customHeight="1">
      <c r="A246" s="3"/>
      <c r="B246" s="3"/>
      <c r="C246" s="3"/>
      <c r="D246" s="3"/>
      <c r="E246" s="3"/>
      <c r="F246" s="3"/>
      <c r="G246" s="3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4"/>
      <c r="S246" s="5"/>
      <c r="T246" s="3"/>
      <c r="U246" s="3"/>
    </row>
    <row r="247" ht="33.0" customHeight="1">
      <c r="A247" s="3"/>
      <c r="B247" s="3"/>
      <c r="C247" s="3"/>
      <c r="D247" s="3"/>
      <c r="E247" s="3"/>
      <c r="F247" s="3"/>
      <c r="G247" s="3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4"/>
      <c r="S247" s="5"/>
      <c r="T247" s="3"/>
      <c r="U247" s="3"/>
    </row>
    <row r="248" ht="33.0" customHeight="1">
      <c r="A248" s="3"/>
      <c r="B248" s="3"/>
      <c r="C248" s="3"/>
      <c r="D248" s="3"/>
      <c r="E248" s="3"/>
      <c r="F248" s="3"/>
      <c r="G248" s="3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4"/>
      <c r="S248" s="5"/>
      <c r="T248" s="3"/>
      <c r="U248" s="3"/>
    </row>
    <row r="249" ht="33.0" customHeight="1">
      <c r="A249" s="3"/>
      <c r="B249" s="3"/>
      <c r="C249" s="3"/>
      <c r="D249" s="3"/>
      <c r="E249" s="3"/>
      <c r="F249" s="3"/>
      <c r="G249" s="3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4"/>
      <c r="S249" s="5"/>
      <c r="T249" s="3"/>
      <c r="U249" s="3"/>
    </row>
    <row r="250" ht="33.0" customHeight="1">
      <c r="A250" s="3"/>
      <c r="B250" s="3"/>
      <c r="C250" s="3"/>
      <c r="D250" s="3"/>
      <c r="E250" s="3"/>
      <c r="F250" s="3"/>
      <c r="G250" s="3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4"/>
      <c r="S250" s="5"/>
      <c r="T250" s="3"/>
      <c r="U250" s="3"/>
    </row>
    <row r="251" ht="33.0" customHeight="1">
      <c r="A251" s="3"/>
      <c r="B251" s="3"/>
      <c r="C251" s="3"/>
      <c r="D251" s="3"/>
      <c r="E251" s="3"/>
      <c r="F251" s="3"/>
      <c r="G251" s="3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4"/>
      <c r="S251" s="5"/>
      <c r="T251" s="3"/>
      <c r="U251" s="3"/>
    </row>
    <row r="252" ht="33.0" customHeight="1">
      <c r="A252" s="3"/>
      <c r="B252" s="3"/>
      <c r="C252" s="3"/>
      <c r="D252" s="3"/>
      <c r="E252" s="3"/>
      <c r="F252" s="3"/>
      <c r="G252" s="3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4"/>
      <c r="S252" s="5"/>
      <c r="T252" s="3"/>
      <c r="U252" s="3"/>
    </row>
    <row r="253" ht="33.0" customHeight="1">
      <c r="A253" s="3"/>
      <c r="B253" s="3"/>
      <c r="C253" s="3"/>
      <c r="D253" s="3"/>
      <c r="E253" s="3"/>
      <c r="F253" s="3"/>
      <c r="G253" s="3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4"/>
      <c r="S253" s="5"/>
      <c r="T253" s="3"/>
      <c r="U253" s="3"/>
    </row>
    <row r="254" ht="33.0" customHeight="1">
      <c r="A254" s="3"/>
      <c r="B254" s="3"/>
      <c r="C254" s="3"/>
      <c r="D254" s="3"/>
      <c r="E254" s="3"/>
      <c r="F254" s="3"/>
      <c r="G254" s="3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4"/>
      <c r="S254" s="5"/>
      <c r="T254" s="3"/>
      <c r="U254" s="3"/>
    </row>
    <row r="255" ht="33.0" customHeight="1">
      <c r="A255" s="3"/>
      <c r="B255" s="3"/>
      <c r="C255" s="3"/>
      <c r="D255" s="3"/>
      <c r="E255" s="3"/>
      <c r="F255" s="3"/>
      <c r="G255" s="3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4"/>
      <c r="S255" s="5"/>
      <c r="T255" s="3"/>
      <c r="U255" s="3"/>
    </row>
    <row r="256" ht="33.0" customHeight="1">
      <c r="A256" s="3"/>
      <c r="B256" s="3"/>
      <c r="C256" s="3"/>
      <c r="D256" s="3"/>
      <c r="E256" s="3"/>
      <c r="F256" s="3"/>
      <c r="G256" s="3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4"/>
      <c r="S256" s="5"/>
      <c r="T256" s="3"/>
      <c r="U256" s="3"/>
    </row>
    <row r="257" ht="33.0" customHeight="1">
      <c r="A257" s="3"/>
      <c r="B257" s="3"/>
      <c r="C257" s="3"/>
      <c r="D257" s="3"/>
      <c r="E257" s="3"/>
      <c r="F257" s="3"/>
      <c r="G257" s="3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4"/>
      <c r="S257" s="5"/>
      <c r="T257" s="3"/>
      <c r="U257" s="3"/>
    </row>
    <row r="258" ht="33.0" customHeight="1">
      <c r="A258" s="3"/>
      <c r="B258" s="3"/>
      <c r="C258" s="3"/>
      <c r="D258" s="3"/>
      <c r="E258" s="3"/>
      <c r="F258" s="3"/>
      <c r="G258" s="3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4"/>
      <c r="S258" s="5"/>
      <c r="T258" s="3"/>
      <c r="U258" s="3"/>
    </row>
    <row r="259" ht="33.0" customHeight="1">
      <c r="A259" s="3"/>
      <c r="B259" s="3"/>
      <c r="C259" s="3"/>
      <c r="D259" s="3"/>
      <c r="E259" s="3"/>
      <c r="F259" s="3"/>
      <c r="G259" s="3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4"/>
      <c r="S259" s="5"/>
      <c r="T259" s="3"/>
      <c r="U259" s="3"/>
    </row>
    <row r="260" ht="33.0" customHeight="1">
      <c r="A260" s="3"/>
      <c r="B260" s="3"/>
      <c r="C260" s="3"/>
      <c r="D260" s="3"/>
      <c r="E260" s="3"/>
      <c r="F260" s="3"/>
      <c r="G260" s="3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4"/>
      <c r="S260" s="5"/>
      <c r="T260" s="3"/>
      <c r="U260" s="3"/>
    </row>
    <row r="261" ht="33.0" customHeight="1">
      <c r="A261" s="3"/>
      <c r="B261" s="3"/>
      <c r="C261" s="3"/>
      <c r="D261" s="3"/>
      <c r="E261" s="3"/>
      <c r="F261" s="3"/>
      <c r="G261" s="3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4"/>
      <c r="S261" s="5"/>
      <c r="T261" s="3"/>
      <c r="U261" s="3"/>
    </row>
    <row r="262" ht="33.0" customHeight="1">
      <c r="A262" s="3"/>
      <c r="B262" s="3"/>
      <c r="C262" s="3"/>
      <c r="D262" s="3"/>
      <c r="E262" s="3"/>
      <c r="F262" s="3"/>
      <c r="G262" s="3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4"/>
      <c r="S262" s="5"/>
      <c r="T262" s="3"/>
      <c r="U262" s="3"/>
    </row>
    <row r="263" ht="33.0" customHeight="1">
      <c r="A263" s="3"/>
      <c r="B263" s="3"/>
      <c r="C263" s="3"/>
      <c r="D263" s="3"/>
      <c r="E263" s="3"/>
      <c r="F263" s="3"/>
      <c r="G263" s="3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4"/>
      <c r="S263" s="5"/>
      <c r="T263" s="3"/>
      <c r="U263" s="3"/>
    </row>
    <row r="264" ht="33.0" customHeight="1">
      <c r="A264" s="3"/>
      <c r="B264" s="3"/>
      <c r="C264" s="3"/>
      <c r="D264" s="3"/>
      <c r="E264" s="3"/>
      <c r="F264" s="3"/>
      <c r="G264" s="3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4"/>
      <c r="S264" s="5"/>
      <c r="T264" s="3"/>
      <c r="U264" s="3"/>
    </row>
    <row r="265" ht="33.0" customHeight="1">
      <c r="A265" s="3"/>
      <c r="B265" s="3"/>
      <c r="C265" s="3"/>
      <c r="D265" s="3"/>
      <c r="E265" s="3"/>
      <c r="F265" s="3"/>
      <c r="G265" s="3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4"/>
      <c r="S265" s="5"/>
      <c r="T265" s="3"/>
      <c r="U265" s="3"/>
    </row>
    <row r="266" ht="33.0" customHeight="1">
      <c r="A266" s="3"/>
      <c r="B266" s="3"/>
      <c r="C266" s="3"/>
      <c r="D266" s="3"/>
      <c r="E266" s="3"/>
      <c r="F266" s="3"/>
      <c r="G266" s="3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4"/>
      <c r="S266" s="5"/>
      <c r="T266" s="3"/>
      <c r="U266" s="3"/>
    </row>
    <row r="267" ht="33.0" customHeight="1">
      <c r="A267" s="3"/>
      <c r="B267" s="3"/>
      <c r="C267" s="3"/>
      <c r="D267" s="3"/>
      <c r="E267" s="3"/>
      <c r="F267" s="3"/>
      <c r="G267" s="3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4"/>
      <c r="S267" s="5"/>
      <c r="T267" s="3"/>
      <c r="U267" s="3"/>
    </row>
    <row r="268" ht="33.0" customHeight="1">
      <c r="A268" s="3"/>
      <c r="B268" s="3"/>
      <c r="C268" s="3"/>
      <c r="D268" s="3"/>
      <c r="E268" s="3"/>
      <c r="F268" s="3"/>
      <c r="G268" s="3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4"/>
      <c r="S268" s="5"/>
      <c r="T268" s="3"/>
      <c r="U268" s="3"/>
    </row>
    <row r="269" ht="33.0" customHeight="1">
      <c r="A269" s="3"/>
      <c r="B269" s="3"/>
      <c r="C269" s="3"/>
      <c r="D269" s="3"/>
      <c r="E269" s="3"/>
      <c r="F269" s="3"/>
      <c r="G269" s="3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4"/>
      <c r="S269" s="5"/>
      <c r="T269" s="3"/>
      <c r="U269" s="3"/>
    </row>
    <row r="270" ht="33.0" customHeight="1">
      <c r="A270" s="3"/>
      <c r="B270" s="3"/>
      <c r="C270" s="3"/>
      <c r="D270" s="3"/>
      <c r="E270" s="3"/>
      <c r="F270" s="3"/>
      <c r="G270" s="3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4"/>
      <c r="S270" s="5"/>
      <c r="T270" s="3"/>
      <c r="U270" s="3"/>
    </row>
    <row r="271" ht="33.0" customHeight="1">
      <c r="A271" s="3"/>
      <c r="B271" s="3"/>
      <c r="C271" s="3"/>
      <c r="D271" s="3"/>
      <c r="E271" s="3"/>
      <c r="F271" s="3"/>
      <c r="G271" s="3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4"/>
      <c r="S271" s="5"/>
      <c r="T271" s="3"/>
      <c r="U271" s="3"/>
    </row>
    <row r="272" ht="33.0" customHeight="1">
      <c r="A272" s="3"/>
      <c r="B272" s="3"/>
      <c r="C272" s="3"/>
      <c r="D272" s="3"/>
      <c r="E272" s="3"/>
      <c r="F272" s="3"/>
      <c r="G272" s="3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4"/>
      <c r="S272" s="5"/>
      <c r="T272" s="3"/>
      <c r="U272" s="3"/>
    </row>
    <row r="273" ht="33.0" customHeight="1">
      <c r="A273" s="3"/>
      <c r="B273" s="3"/>
      <c r="C273" s="3"/>
      <c r="D273" s="3"/>
      <c r="E273" s="3"/>
      <c r="F273" s="3"/>
      <c r="G273" s="3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4"/>
      <c r="S273" s="5"/>
      <c r="T273" s="3"/>
      <c r="U273" s="3"/>
    </row>
    <row r="274" ht="33.0" customHeight="1">
      <c r="A274" s="3"/>
      <c r="B274" s="3"/>
      <c r="C274" s="3"/>
      <c r="D274" s="3"/>
      <c r="E274" s="3"/>
      <c r="F274" s="3"/>
      <c r="G274" s="3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4"/>
      <c r="S274" s="5"/>
      <c r="T274" s="3"/>
      <c r="U274" s="3"/>
    </row>
    <row r="275" ht="33.0" customHeight="1">
      <c r="A275" s="3"/>
      <c r="B275" s="3"/>
      <c r="C275" s="3"/>
      <c r="D275" s="3"/>
      <c r="E275" s="3"/>
      <c r="F275" s="3"/>
      <c r="G275" s="3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4"/>
      <c r="S275" s="5"/>
      <c r="T275" s="3"/>
      <c r="U275" s="3"/>
    </row>
    <row r="276" ht="33.0" customHeight="1">
      <c r="A276" s="3"/>
      <c r="B276" s="3"/>
      <c r="C276" s="3"/>
      <c r="D276" s="3"/>
      <c r="E276" s="3"/>
      <c r="F276" s="3"/>
      <c r="G276" s="3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4"/>
      <c r="S276" s="5"/>
      <c r="T276" s="3"/>
      <c r="U276" s="3"/>
    </row>
    <row r="277" ht="33.0" customHeight="1">
      <c r="A277" s="3"/>
      <c r="B277" s="3"/>
      <c r="C277" s="3"/>
      <c r="D277" s="3"/>
      <c r="E277" s="3"/>
      <c r="F277" s="3"/>
      <c r="G277" s="3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4"/>
      <c r="S277" s="5"/>
      <c r="T277" s="3"/>
      <c r="U277" s="3"/>
    </row>
    <row r="278" ht="33.0" customHeight="1">
      <c r="A278" s="3"/>
      <c r="B278" s="3"/>
      <c r="C278" s="3"/>
      <c r="D278" s="3"/>
      <c r="E278" s="3"/>
      <c r="F278" s="3"/>
      <c r="G278" s="3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4"/>
      <c r="S278" s="5"/>
      <c r="T278" s="3"/>
      <c r="U278" s="3"/>
    </row>
    <row r="279" ht="33.0" customHeight="1">
      <c r="A279" s="3"/>
      <c r="B279" s="3"/>
      <c r="C279" s="3"/>
      <c r="D279" s="3"/>
      <c r="E279" s="3"/>
      <c r="F279" s="3"/>
      <c r="G279" s="3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4"/>
      <c r="S279" s="5"/>
      <c r="T279" s="3"/>
      <c r="U279" s="3"/>
    </row>
    <row r="280" ht="33.0" customHeight="1">
      <c r="A280" s="3"/>
      <c r="B280" s="3"/>
      <c r="C280" s="3"/>
      <c r="D280" s="3"/>
      <c r="E280" s="3"/>
      <c r="F280" s="3"/>
      <c r="G280" s="3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4"/>
      <c r="S280" s="5"/>
      <c r="T280" s="3"/>
      <c r="U280" s="3"/>
    </row>
    <row r="281" ht="33.0" customHeight="1">
      <c r="A281" s="3"/>
      <c r="B281" s="3"/>
      <c r="C281" s="3"/>
      <c r="D281" s="3"/>
      <c r="E281" s="3"/>
      <c r="F281" s="3"/>
      <c r="G281" s="3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4"/>
      <c r="S281" s="5"/>
      <c r="T281" s="3"/>
      <c r="U281" s="3"/>
    </row>
    <row r="282" ht="33.0" customHeight="1">
      <c r="A282" s="3"/>
      <c r="B282" s="3"/>
      <c r="C282" s="3"/>
      <c r="D282" s="3"/>
      <c r="E282" s="3"/>
      <c r="F282" s="3"/>
      <c r="G282" s="3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4"/>
      <c r="S282" s="5"/>
      <c r="T282" s="3"/>
      <c r="U282" s="3"/>
    </row>
    <row r="283" ht="33.0" customHeight="1">
      <c r="A283" s="3"/>
      <c r="B283" s="3"/>
      <c r="C283" s="3"/>
      <c r="D283" s="3"/>
      <c r="E283" s="3"/>
      <c r="F283" s="3"/>
      <c r="G283" s="3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4"/>
      <c r="S283" s="5"/>
      <c r="T283" s="3"/>
      <c r="U283" s="3"/>
    </row>
    <row r="284" ht="33.0" customHeight="1">
      <c r="A284" s="3"/>
      <c r="B284" s="3"/>
      <c r="C284" s="3"/>
      <c r="D284" s="3"/>
      <c r="E284" s="3"/>
      <c r="F284" s="3"/>
      <c r="G284" s="3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4"/>
      <c r="S284" s="5"/>
      <c r="T284" s="3"/>
      <c r="U284" s="3"/>
    </row>
    <row r="285" ht="33.0" customHeight="1">
      <c r="A285" s="3"/>
      <c r="B285" s="3"/>
      <c r="C285" s="3"/>
      <c r="D285" s="3"/>
      <c r="E285" s="3"/>
      <c r="F285" s="3"/>
      <c r="G285" s="3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4"/>
      <c r="S285" s="5"/>
      <c r="T285" s="3"/>
      <c r="U285" s="3"/>
    </row>
    <row r="286" ht="33.0" customHeight="1">
      <c r="A286" s="3"/>
      <c r="B286" s="3"/>
      <c r="C286" s="3"/>
      <c r="D286" s="3"/>
      <c r="E286" s="3"/>
      <c r="F286" s="3"/>
      <c r="G286" s="3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4"/>
      <c r="S286" s="5"/>
      <c r="T286" s="3"/>
      <c r="U286" s="3"/>
    </row>
    <row r="287" ht="33.0" customHeight="1">
      <c r="A287" s="3"/>
      <c r="B287" s="3"/>
      <c r="C287" s="3"/>
      <c r="D287" s="3"/>
      <c r="E287" s="3"/>
      <c r="F287" s="3"/>
      <c r="G287" s="3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4"/>
      <c r="S287" s="5"/>
      <c r="T287" s="3"/>
      <c r="U287" s="3"/>
    </row>
    <row r="288" ht="33.0" customHeight="1">
      <c r="A288" s="3"/>
      <c r="B288" s="3"/>
      <c r="C288" s="3"/>
      <c r="D288" s="3"/>
      <c r="E288" s="3"/>
      <c r="F288" s="3"/>
      <c r="G288" s="3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4"/>
      <c r="S288" s="5"/>
      <c r="T288" s="3"/>
      <c r="U288" s="3"/>
    </row>
    <row r="289" ht="33.0" customHeight="1">
      <c r="A289" s="3"/>
      <c r="B289" s="3"/>
      <c r="C289" s="3"/>
      <c r="D289" s="3"/>
      <c r="E289" s="3"/>
      <c r="F289" s="3"/>
      <c r="G289" s="3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4"/>
      <c r="S289" s="5"/>
      <c r="T289" s="3"/>
      <c r="U289" s="3"/>
    </row>
    <row r="290" ht="33.0" customHeight="1">
      <c r="A290" s="3"/>
      <c r="B290" s="3"/>
      <c r="C290" s="3"/>
      <c r="D290" s="3"/>
      <c r="E290" s="3"/>
      <c r="F290" s="3"/>
      <c r="G290" s="3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4"/>
      <c r="S290" s="5"/>
      <c r="T290" s="3"/>
      <c r="U290" s="3"/>
    </row>
    <row r="291" ht="33.0" customHeight="1">
      <c r="A291" s="3"/>
      <c r="B291" s="3"/>
      <c r="C291" s="3"/>
      <c r="D291" s="3"/>
      <c r="E291" s="3"/>
      <c r="F291" s="3"/>
      <c r="G291" s="3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4"/>
      <c r="S291" s="5"/>
      <c r="T291" s="3"/>
      <c r="U291" s="3"/>
    </row>
    <row r="292" ht="33.0" customHeight="1">
      <c r="A292" s="3"/>
      <c r="B292" s="3"/>
      <c r="C292" s="3"/>
      <c r="D292" s="3"/>
      <c r="E292" s="3"/>
      <c r="F292" s="3"/>
      <c r="G292" s="3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4"/>
      <c r="S292" s="5"/>
      <c r="T292" s="3"/>
      <c r="U292" s="3"/>
    </row>
    <row r="293" ht="33.0" customHeight="1">
      <c r="A293" s="3"/>
      <c r="B293" s="3"/>
      <c r="C293" s="3"/>
      <c r="D293" s="3"/>
      <c r="E293" s="3"/>
      <c r="F293" s="3"/>
      <c r="G293" s="3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4"/>
      <c r="S293" s="5"/>
      <c r="T293" s="3"/>
      <c r="U293" s="3"/>
    </row>
    <row r="294" ht="33.0" customHeight="1">
      <c r="A294" s="3"/>
      <c r="B294" s="3"/>
      <c r="C294" s="3"/>
      <c r="D294" s="3"/>
      <c r="E294" s="3"/>
      <c r="F294" s="3"/>
      <c r="G294" s="3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4"/>
      <c r="S294" s="5"/>
      <c r="T294" s="3"/>
      <c r="U294" s="3"/>
    </row>
    <row r="295" ht="33.0" customHeight="1">
      <c r="A295" s="3"/>
      <c r="B295" s="3"/>
      <c r="C295" s="3"/>
      <c r="D295" s="3"/>
      <c r="E295" s="3"/>
      <c r="F295" s="3"/>
      <c r="G295" s="3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4"/>
      <c r="S295" s="5"/>
      <c r="T295" s="3"/>
      <c r="U295" s="3"/>
    </row>
    <row r="296" ht="33.0" customHeight="1">
      <c r="A296" s="3"/>
      <c r="B296" s="3"/>
      <c r="C296" s="3"/>
      <c r="D296" s="3"/>
      <c r="E296" s="3"/>
      <c r="F296" s="3"/>
      <c r="G296" s="3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4"/>
      <c r="S296" s="5"/>
      <c r="T296" s="3"/>
      <c r="U296" s="3"/>
    </row>
    <row r="297" ht="33.0" customHeight="1">
      <c r="A297" s="3"/>
      <c r="B297" s="3"/>
      <c r="C297" s="3"/>
      <c r="D297" s="3"/>
      <c r="E297" s="3"/>
      <c r="F297" s="3"/>
      <c r="G297" s="3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4"/>
      <c r="S297" s="5"/>
      <c r="T297" s="3"/>
      <c r="U297" s="3"/>
    </row>
    <row r="298" ht="33.0" customHeight="1">
      <c r="A298" s="3"/>
      <c r="B298" s="3"/>
      <c r="C298" s="3"/>
      <c r="D298" s="3"/>
      <c r="E298" s="3"/>
      <c r="F298" s="3"/>
      <c r="G298" s="3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4"/>
      <c r="S298" s="5"/>
      <c r="T298" s="3"/>
      <c r="U298" s="3"/>
    </row>
    <row r="299" ht="33.0" customHeight="1">
      <c r="A299" s="3"/>
      <c r="B299" s="3"/>
      <c r="C299" s="3"/>
      <c r="D299" s="3"/>
      <c r="E299" s="3"/>
      <c r="F299" s="3"/>
      <c r="G299" s="3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4"/>
      <c r="S299" s="5"/>
      <c r="T299" s="3"/>
      <c r="U299" s="3"/>
    </row>
    <row r="300" ht="33.0" customHeight="1">
      <c r="A300" s="3"/>
      <c r="B300" s="3"/>
      <c r="C300" s="3"/>
      <c r="D300" s="3"/>
      <c r="E300" s="3"/>
      <c r="F300" s="3"/>
      <c r="G300" s="3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4"/>
      <c r="S300" s="5"/>
      <c r="T300" s="3"/>
      <c r="U300" s="3"/>
    </row>
    <row r="301" ht="33.0" customHeight="1">
      <c r="A301" s="3"/>
      <c r="B301" s="3"/>
      <c r="C301" s="3"/>
      <c r="D301" s="3"/>
      <c r="E301" s="3"/>
      <c r="F301" s="3"/>
      <c r="G301" s="3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4"/>
      <c r="S301" s="5"/>
      <c r="T301" s="3"/>
      <c r="U301" s="3"/>
    </row>
    <row r="302" ht="33.0" customHeight="1">
      <c r="A302" s="3"/>
      <c r="B302" s="3"/>
      <c r="C302" s="3"/>
      <c r="D302" s="3"/>
      <c r="E302" s="3"/>
      <c r="F302" s="3"/>
      <c r="G302" s="3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4"/>
      <c r="S302" s="5"/>
      <c r="T302" s="3"/>
      <c r="U302" s="3"/>
    </row>
    <row r="303" ht="33.0" customHeight="1">
      <c r="A303" s="3"/>
      <c r="B303" s="3"/>
      <c r="C303" s="3"/>
      <c r="D303" s="3"/>
      <c r="E303" s="3"/>
      <c r="F303" s="3"/>
      <c r="G303" s="3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4"/>
      <c r="S303" s="5"/>
      <c r="T303" s="3"/>
      <c r="U303" s="3"/>
    </row>
    <row r="304" ht="33.0" customHeight="1">
      <c r="A304" s="3"/>
      <c r="B304" s="3"/>
      <c r="C304" s="3"/>
      <c r="D304" s="3"/>
      <c r="E304" s="3"/>
      <c r="F304" s="3"/>
      <c r="G304" s="3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4"/>
      <c r="S304" s="5"/>
      <c r="T304" s="3"/>
      <c r="U304" s="3"/>
    </row>
    <row r="305" ht="33.0" customHeight="1">
      <c r="A305" s="3"/>
      <c r="B305" s="3"/>
      <c r="C305" s="3"/>
      <c r="D305" s="3"/>
      <c r="E305" s="3"/>
      <c r="F305" s="3"/>
      <c r="G305" s="3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4"/>
      <c r="S305" s="5"/>
      <c r="T305" s="3"/>
      <c r="U305" s="3"/>
    </row>
    <row r="306" ht="33.0" customHeight="1">
      <c r="A306" s="3"/>
      <c r="B306" s="3"/>
      <c r="C306" s="3"/>
      <c r="D306" s="3"/>
      <c r="E306" s="3"/>
      <c r="F306" s="3"/>
      <c r="G306" s="3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4"/>
      <c r="S306" s="5"/>
      <c r="T306" s="3"/>
      <c r="U306" s="3"/>
    </row>
    <row r="307" ht="33.0" customHeight="1">
      <c r="A307" s="3"/>
      <c r="B307" s="3"/>
      <c r="C307" s="3"/>
      <c r="D307" s="3"/>
      <c r="E307" s="3"/>
      <c r="F307" s="3"/>
      <c r="G307" s="3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4"/>
      <c r="S307" s="5"/>
      <c r="T307" s="3"/>
      <c r="U307" s="3"/>
    </row>
    <row r="308" ht="33.0" customHeight="1">
      <c r="A308" s="3"/>
      <c r="B308" s="3"/>
      <c r="C308" s="3"/>
      <c r="D308" s="3"/>
      <c r="E308" s="3"/>
      <c r="F308" s="3"/>
      <c r="G308" s="3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4"/>
      <c r="S308" s="5"/>
      <c r="T308" s="3"/>
      <c r="U308" s="3"/>
    </row>
    <row r="309" ht="33.0" customHeight="1">
      <c r="A309" s="3"/>
      <c r="B309" s="3"/>
      <c r="C309" s="3"/>
      <c r="D309" s="3"/>
      <c r="E309" s="3"/>
      <c r="F309" s="3"/>
      <c r="G309" s="3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4"/>
      <c r="S309" s="5"/>
      <c r="T309" s="3"/>
      <c r="U309" s="3"/>
    </row>
    <row r="310" ht="33.0" customHeight="1">
      <c r="A310" s="3"/>
      <c r="B310" s="3"/>
      <c r="C310" s="3"/>
      <c r="D310" s="3"/>
      <c r="E310" s="3"/>
      <c r="F310" s="3"/>
      <c r="G310" s="3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4"/>
      <c r="S310" s="5"/>
      <c r="T310" s="3"/>
      <c r="U310" s="3"/>
    </row>
    <row r="311" ht="33.0" customHeight="1">
      <c r="A311" s="3"/>
      <c r="B311" s="3"/>
      <c r="C311" s="3"/>
      <c r="D311" s="3"/>
      <c r="E311" s="3"/>
      <c r="F311" s="3"/>
      <c r="G311" s="3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4"/>
      <c r="S311" s="5"/>
      <c r="T311" s="3"/>
      <c r="U311" s="3"/>
    </row>
    <row r="312" ht="33.0" customHeight="1">
      <c r="A312" s="3"/>
      <c r="B312" s="3"/>
      <c r="C312" s="3"/>
      <c r="D312" s="3"/>
      <c r="E312" s="3"/>
      <c r="F312" s="3"/>
      <c r="G312" s="3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4"/>
      <c r="S312" s="5"/>
      <c r="T312" s="3"/>
      <c r="U312" s="3"/>
    </row>
    <row r="313" ht="33.0" customHeight="1">
      <c r="A313" s="3"/>
      <c r="B313" s="3"/>
      <c r="C313" s="3"/>
      <c r="D313" s="3"/>
      <c r="E313" s="3"/>
      <c r="F313" s="3"/>
      <c r="G313" s="3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4"/>
      <c r="S313" s="5"/>
      <c r="T313" s="3"/>
      <c r="U313" s="3"/>
    </row>
    <row r="314" ht="33.0" customHeight="1">
      <c r="A314" s="3"/>
      <c r="B314" s="3"/>
      <c r="C314" s="3"/>
      <c r="D314" s="3"/>
      <c r="E314" s="3"/>
      <c r="F314" s="3"/>
      <c r="G314" s="3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4"/>
      <c r="S314" s="5"/>
      <c r="T314" s="3"/>
      <c r="U314" s="3"/>
    </row>
    <row r="315" ht="33.0" customHeight="1">
      <c r="A315" s="3"/>
      <c r="B315" s="3"/>
      <c r="C315" s="3"/>
      <c r="D315" s="3"/>
      <c r="E315" s="3"/>
      <c r="F315" s="3"/>
      <c r="G315" s="3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4"/>
      <c r="S315" s="5"/>
      <c r="T315" s="3"/>
      <c r="U315" s="3"/>
    </row>
    <row r="316" ht="33.0" customHeight="1">
      <c r="A316" s="3"/>
      <c r="B316" s="3"/>
      <c r="C316" s="3"/>
      <c r="D316" s="3"/>
      <c r="E316" s="3"/>
      <c r="F316" s="3"/>
      <c r="G316" s="3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4"/>
      <c r="S316" s="5"/>
      <c r="T316" s="3"/>
      <c r="U316" s="3"/>
    </row>
    <row r="317" ht="33.0" customHeight="1">
      <c r="A317" s="3"/>
      <c r="B317" s="3"/>
      <c r="C317" s="3"/>
      <c r="D317" s="3"/>
      <c r="E317" s="3"/>
      <c r="F317" s="3"/>
      <c r="G317" s="3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4"/>
      <c r="S317" s="5"/>
      <c r="T317" s="3"/>
      <c r="U317" s="3"/>
    </row>
    <row r="318" ht="33.0" customHeight="1">
      <c r="A318" s="3"/>
      <c r="B318" s="3"/>
      <c r="C318" s="3"/>
      <c r="D318" s="3"/>
      <c r="E318" s="3"/>
      <c r="F318" s="3"/>
      <c r="G318" s="3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4"/>
      <c r="S318" s="5"/>
      <c r="T318" s="3"/>
      <c r="U318" s="3"/>
    </row>
    <row r="319" ht="33.0" customHeight="1">
      <c r="A319" s="3"/>
      <c r="B319" s="3"/>
      <c r="C319" s="3"/>
      <c r="D319" s="3"/>
      <c r="E319" s="3"/>
      <c r="F319" s="3"/>
      <c r="G319" s="3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4"/>
      <c r="S319" s="5"/>
      <c r="T319" s="3"/>
      <c r="U319" s="3"/>
    </row>
    <row r="320" ht="33.0" customHeight="1">
      <c r="A320" s="3"/>
      <c r="B320" s="3"/>
      <c r="C320" s="3"/>
      <c r="D320" s="3"/>
      <c r="E320" s="3"/>
      <c r="F320" s="3"/>
      <c r="G320" s="3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4"/>
      <c r="S320" s="5"/>
      <c r="T320" s="3"/>
      <c r="U320" s="3"/>
    </row>
    <row r="321" ht="33.0" customHeight="1">
      <c r="A321" s="3"/>
      <c r="B321" s="3"/>
      <c r="C321" s="3"/>
      <c r="D321" s="3"/>
      <c r="E321" s="3"/>
      <c r="F321" s="3"/>
      <c r="G321" s="3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4"/>
      <c r="S321" s="5"/>
      <c r="T321" s="3"/>
      <c r="U321" s="3"/>
    </row>
    <row r="322" ht="33.0" customHeight="1">
      <c r="A322" s="3"/>
      <c r="B322" s="3"/>
      <c r="C322" s="3"/>
      <c r="D322" s="3"/>
      <c r="E322" s="3"/>
      <c r="F322" s="3"/>
      <c r="G322" s="3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4"/>
      <c r="S322" s="5"/>
      <c r="T322" s="3"/>
      <c r="U322" s="3"/>
    </row>
    <row r="323" ht="33.0" customHeight="1">
      <c r="A323" s="3"/>
      <c r="B323" s="3"/>
      <c r="C323" s="3"/>
      <c r="D323" s="3"/>
      <c r="E323" s="3"/>
      <c r="F323" s="3"/>
      <c r="G323" s="3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4"/>
      <c r="S323" s="5"/>
      <c r="T323" s="3"/>
      <c r="U323" s="3"/>
    </row>
    <row r="324" ht="33.0" customHeight="1">
      <c r="A324" s="3"/>
      <c r="B324" s="3"/>
      <c r="C324" s="3"/>
      <c r="D324" s="3"/>
      <c r="E324" s="3"/>
      <c r="F324" s="3"/>
      <c r="G324" s="3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4"/>
      <c r="S324" s="5"/>
      <c r="T324" s="3"/>
      <c r="U324" s="3"/>
    </row>
    <row r="325" ht="33.0" customHeight="1">
      <c r="A325" s="3"/>
      <c r="B325" s="3"/>
      <c r="C325" s="3"/>
      <c r="D325" s="3"/>
      <c r="E325" s="3"/>
      <c r="F325" s="3"/>
      <c r="G325" s="3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4"/>
      <c r="S325" s="5"/>
      <c r="T325" s="3"/>
      <c r="U325" s="3"/>
    </row>
    <row r="326" ht="33.0" customHeight="1">
      <c r="A326" s="3"/>
      <c r="B326" s="3"/>
      <c r="C326" s="3"/>
      <c r="D326" s="3"/>
      <c r="E326" s="3"/>
      <c r="F326" s="3"/>
      <c r="G326" s="3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4"/>
      <c r="S326" s="5"/>
      <c r="T326" s="3"/>
      <c r="U326" s="3"/>
    </row>
    <row r="327" ht="33.0" customHeight="1">
      <c r="A327" s="3"/>
      <c r="B327" s="3"/>
      <c r="C327" s="3"/>
      <c r="D327" s="3"/>
      <c r="E327" s="3"/>
      <c r="F327" s="3"/>
      <c r="G327" s="3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4"/>
      <c r="S327" s="5"/>
      <c r="T327" s="3"/>
      <c r="U327" s="3"/>
    </row>
    <row r="328" ht="33.0" customHeight="1">
      <c r="A328" s="3"/>
      <c r="B328" s="3"/>
      <c r="C328" s="3"/>
      <c r="D328" s="3"/>
      <c r="E328" s="3"/>
      <c r="F328" s="3"/>
      <c r="G328" s="3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4"/>
      <c r="S328" s="5"/>
      <c r="T328" s="3"/>
      <c r="U328" s="3"/>
    </row>
    <row r="329" ht="33.0" customHeight="1">
      <c r="A329" s="3"/>
      <c r="B329" s="3"/>
      <c r="C329" s="3"/>
      <c r="D329" s="3"/>
      <c r="E329" s="3"/>
      <c r="F329" s="3"/>
      <c r="G329" s="3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4"/>
      <c r="S329" s="5"/>
      <c r="T329" s="3"/>
      <c r="U329" s="3"/>
    </row>
    <row r="330" ht="33.0" customHeight="1">
      <c r="A330" s="3"/>
      <c r="B330" s="3"/>
      <c r="C330" s="3"/>
      <c r="D330" s="3"/>
      <c r="E330" s="3"/>
      <c r="F330" s="3"/>
      <c r="G330" s="3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4"/>
      <c r="S330" s="5"/>
      <c r="T330" s="3"/>
      <c r="U330" s="3"/>
    </row>
    <row r="331" ht="33.0" customHeight="1">
      <c r="A331" s="3"/>
      <c r="B331" s="3"/>
      <c r="C331" s="3"/>
      <c r="D331" s="3"/>
      <c r="E331" s="3"/>
      <c r="F331" s="3"/>
      <c r="G331" s="3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4"/>
      <c r="S331" s="5"/>
      <c r="T331" s="3"/>
      <c r="U331" s="3"/>
    </row>
    <row r="332" ht="33.0" customHeight="1">
      <c r="A332" s="3"/>
      <c r="B332" s="3"/>
      <c r="C332" s="3"/>
      <c r="D332" s="3"/>
      <c r="E332" s="3"/>
      <c r="F332" s="3"/>
      <c r="G332" s="3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4"/>
      <c r="S332" s="5"/>
      <c r="T332" s="3"/>
      <c r="U332" s="3"/>
    </row>
    <row r="333" ht="33.0" customHeight="1">
      <c r="A333" s="3"/>
      <c r="B333" s="3"/>
      <c r="C333" s="3"/>
      <c r="D333" s="3"/>
      <c r="E333" s="3"/>
      <c r="F333" s="3"/>
      <c r="G333" s="3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4"/>
      <c r="S333" s="5"/>
      <c r="T333" s="3"/>
      <c r="U333" s="3"/>
    </row>
    <row r="334" ht="33.0" customHeight="1">
      <c r="A334" s="3"/>
      <c r="B334" s="3"/>
      <c r="C334" s="3"/>
      <c r="D334" s="3"/>
      <c r="E334" s="3"/>
      <c r="F334" s="3"/>
      <c r="G334" s="3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4"/>
      <c r="S334" s="5"/>
      <c r="T334" s="3"/>
      <c r="U334" s="3"/>
    </row>
    <row r="335" ht="33.0" customHeight="1">
      <c r="A335" s="3"/>
      <c r="B335" s="3"/>
      <c r="C335" s="3"/>
      <c r="D335" s="3"/>
      <c r="E335" s="3"/>
      <c r="F335" s="3"/>
      <c r="G335" s="3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4"/>
      <c r="S335" s="5"/>
      <c r="T335" s="3"/>
      <c r="U335" s="3"/>
    </row>
    <row r="336" ht="33.0" customHeight="1">
      <c r="A336" s="3"/>
      <c r="B336" s="3"/>
      <c r="C336" s="3"/>
      <c r="D336" s="3"/>
      <c r="E336" s="3"/>
      <c r="F336" s="3"/>
      <c r="G336" s="3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4"/>
      <c r="S336" s="5"/>
      <c r="T336" s="3"/>
      <c r="U336" s="3"/>
    </row>
    <row r="337" ht="33.0" customHeight="1">
      <c r="A337" s="3"/>
      <c r="B337" s="3"/>
      <c r="C337" s="3"/>
      <c r="D337" s="3"/>
      <c r="E337" s="3"/>
      <c r="F337" s="3"/>
      <c r="G337" s="3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4"/>
      <c r="S337" s="5"/>
      <c r="T337" s="3"/>
      <c r="U337" s="3"/>
    </row>
    <row r="338" ht="33.0" customHeight="1">
      <c r="A338" s="3"/>
      <c r="B338" s="3"/>
      <c r="C338" s="3"/>
      <c r="D338" s="3"/>
      <c r="E338" s="3"/>
      <c r="F338" s="3"/>
      <c r="G338" s="3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4"/>
      <c r="S338" s="5"/>
      <c r="T338" s="3"/>
      <c r="U338" s="3"/>
    </row>
    <row r="339" ht="33.0" customHeight="1">
      <c r="A339" s="3"/>
      <c r="B339" s="3"/>
      <c r="C339" s="3"/>
      <c r="D339" s="3"/>
      <c r="E339" s="3"/>
      <c r="F339" s="3"/>
      <c r="G339" s="3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4"/>
      <c r="S339" s="5"/>
      <c r="T339" s="3"/>
      <c r="U339" s="3"/>
    </row>
    <row r="340" ht="33.0" customHeight="1">
      <c r="A340" s="3"/>
      <c r="B340" s="3"/>
      <c r="C340" s="3"/>
      <c r="D340" s="3"/>
      <c r="E340" s="3"/>
      <c r="F340" s="3"/>
      <c r="G340" s="3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4"/>
      <c r="S340" s="5"/>
      <c r="T340" s="3"/>
      <c r="U340" s="3"/>
    </row>
    <row r="341" ht="33.0" customHeight="1">
      <c r="A341" s="3"/>
      <c r="B341" s="3"/>
      <c r="C341" s="3"/>
      <c r="D341" s="3"/>
      <c r="E341" s="3"/>
      <c r="F341" s="3"/>
      <c r="G341" s="3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4"/>
      <c r="S341" s="5"/>
      <c r="T341" s="3"/>
      <c r="U341" s="3"/>
    </row>
    <row r="342" ht="33.0" customHeight="1">
      <c r="A342" s="3"/>
      <c r="B342" s="3"/>
      <c r="C342" s="3"/>
      <c r="D342" s="3"/>
      <c r="E342" s="3"/>
      <c r="F342" s="3"/>
      <c r="G342" s="3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4"/>
      <c r="S342" s="5"/>
      <c r="T342" s="3"/>
      <c r="U342" s="3"/>
    </row>
    <row r="343" ht="33.0" customHeight="1">
      <c r="A343" s="3"/>
      <c r="B343" s="3"/>
      <c r="C343" s="3"/>
      <c r="D343" s="3"/>
      <c r="E343" s="3"/>
      <c r="F343" s="3"/>
      <c r="G343" s="3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4"/>
      <c r="S343" s="5"/>
      <c r="T343" s="3"/>
      <c r="U343" s="3"/>
    </row>
    <row r="344" ht="33.0" customHeight="1">
      <c r="A344" s="3"/>
      <c r="B344" s="3"/>
      <c r="C344" s="3"/>
      <c r="D344" s="3"/>
      <c r="E344" s="3"/>
      <c r="F344" s="3"/>
      <c r="G344" s="3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4"/>
      <c r="S344" s="5"/>
      <c r="T344" s="3"/>
      <c r="U344" s="3"/>
    </row>
    <row r="345" ht="33.0" customHeight="1">
      <c r="A345" s="3"/>
      <c r="B345" s="3"/>
      <c r="C345" s="3"/>
      <c r="D345" s="3"/>
      <c r="E345" s="3"/>
      <c r="F345" s="3"/>
      <c r="G345" s="3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4"/>
      <c r="S345" s="5"/>
      <c r="T345" s="3"/>
      <c r="U345" s="3"/>
    </row>
    <row r="346" ht="33.0" customHeight="1">
      <c r="A346" s="3"/>
      <c r="B346" s="3"/>
      <c r="C346" s="3"/>
      <c r="D346" s="3"/>
      <c r="E346" s="3"/>
      <c r="F346" s="3"/>
      <c r="G346" s="3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4"/>
      <c r="S346" s="5"/>
      <c r="T346" s="3"/>
      <c r="U346" s="3"/>
    </row>
    <row r="347" ht="33.0" customHeight="1">
      <c r="A347" s="3"/>
      <c r="B347" s="3"/>
      <c r="C347" s="3"/>
      <c r="D347" s="3"/>
      <c r="E347" s="3"/>
      <c r="F347" s="3"/>
      <c r="G347" s="3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4"/>
      <c r="S347" s="5"/>
      <c r="T347" s="3"/>
      <c r="U347" s="3"/>
    </row>
    <row r="348" ht="33.0" customHeight="1">
      <c r="A348" s="3"/>
      <c r="B348" s="3"/>
      <c r="C348" s="3"/>
      <c r="D348" s="3"/>
      <c r="E348" s="3"/>
      <c r="F348" s="3"/>
      <c r="G348" s="3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4"/>
      <c r="S348" s="5"/>
      <c r="T348" s="3"/>
      <c r="U348" s="3"/>
    </row>
    <row r="349" ht="33.0" customHeight="1">
      <c r="A349" s="3"/>
      <c r="B349" s="3"/>
      <c r="C349" s="3"/>
      <c r="D349" s="3"/>
      <c r="E349" s="3"/>
      <c r="F349" s="3"/>
      <c r="G349" s="3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4"/>
      <c r="S349" s="5"/>
      <c r="T349" s="3"/>
      <c r="U349" s="3"/>
    </row>
    <row r="350" ht="33.0" customHeight="1">
      <c r="A350" s="3"/>
      <c r="B350" s="3"/>
      <c r="C350" s="3"/>
      <c r="D350" s="3"/>
      <c r="E350" s="3"/>
      <c r="F350" s="3"/>
      <c r="G350" s="3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4"/>
      <c r="S350" s="5"/>
      <c r="T350" s="3"/>
      <c r="U350" s="3"/>
    </row>
    <row r="351" ht="33.0" customHeight="1">
      <c r="A351" s="3"/>
      <c r="B351" s="3"/>
      <c r="C351" s="3"/>
      <c r="D351" s="3"/>
      <c r="E351" s="3"/>
      <c r="F351" s="3"/>
      <c r="G351" s="3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4"/>
      <c r="S351" s="5"/>
      <c r="T351" s="3"/>
      <c r="U351" s="3"/>
    </row>
    <row r="352" ht="33.0" customHeight="1">
      <c r="A352" s="3"/>
      <c r="B352" s="3"/>
      <c r="C352" s="3"/>
      <c r="D352" s="3"/>
      <c r="E352" s="3"/>
      <c r="F352" s="3"/>
      <c r="G352" s="3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4"/>
      <c r="S352" s="5"/>
      <c r="T352" s="3"/>
      <c r="U352" s="3"/>
    </row>
    <row r="353" ht="33.0" customHeight="1">
      <c r="A353" s="3"/>
      <c r="B353" s="3"/>
      <c r="C353" s="3"/>
      <c r="D353" s="3"/>
      <c r="E353" s="3"/>
      <c r="F353" s="3"/>
      <c r="G353" s="3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4"/>
      <c r="S353" s="5"/>
      <c r="T353" s="3"/>
      <c r="U353" s="3"/>
    </row>
    <row r="354" ht="33.0" customHeight="1">
      <c r="A354" s="3"/>
      <c r="B354" s="3"/>
      <c r="C354" s="3"/>
      <c r="D354" s="3"/>
      <c r="E354" s="3"/>
      <c r="F354" s="3"/>
      <c r="G354" s="3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4"/>
      <c r="S354" s="5"/>
      <c r="T354" s="3"/>
      <c r="U354" s="3"/>
    </row>
    <row r="355" ht="33.0" customHeight="1">
      <c r="A355" s="3"/>
      <c r="B355" s="3"/>
      <c r="C355" s="3"/>
      <c r="D355" s="3"/>
      <c r="E355" s="3"/>
      <c r="F355" s="3"/>
      <c r="G355" s="3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4"/>
      <c r="S355" s="5"/>
      <c r="T355" s="3"/>
      <c r="U355" s="3"/>
    </row>
    <row r="356" ht="33.0" customHeight="1">
      <c r="A356" s="3"/>
      <c r="B356" s="3"/>
      <c r="C356" s="3"/>
      <c r="D356" s="3"/>
      <c r="E356" s="3"/>
      <c r="F356" s="3"/>
      <c r="G356" s="3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4"/>
      <c r="S356" s="5"/>
      <c r="T356" s="3"/>
      <c r="U356" s="3"/>
    </row>
    <row r="357" ht="33.0" customHeight="1">
      <c r="A357" s="3"/>
      <c r="B357" s="3"/>
      <c r="C357" s="3"/>
      <c r="D357" s="3"/>
      <c r="E357" s="3"/>
      <c r="F357" s="3"/>
      <c r="G357" s="3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4"/>
      <c r="S357" s="5"/>
      <c r="T357" s="3"/>
      <c r="U357" s="3"/>
    </row>
    <row r="358" ht="33.0" customHeight="1">
      <c r="A358" s="3"/>
      <c r="B358" s="3"/>
      <c r="C358" s="3"/>
      <c r="D358" s="3"/>
      <c r="E358" s="3"/>
      <c r="F358" s="3"/>
      <c r="G358" s="3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4"/>
      <c r="S358" s="5"/>
      <c r="T358" s="3"/>
      <c r="U358" s="3"/>
    </row>
    <row r="359" ht="33.0" customHeight="1">
      <c r="A359" s="3"/>
      <c r="B359" s="3"/>
      <c r="C359" s="3"/>
      <c r="D359" s="3"/>
      <c r="E359" s="3"/>
      <c r="F359" s="3"/>
      <c r="G359" s="3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4"/>
      <c r="S359" s="5"/>
      <c r="T359" s="3"/>
      <c r="U359" s="3"/>
    </row>
    <row r="360" ht="33.0" customHeight="1">
      <c r="A360" s="3"/>
      <c r="B360" s="3"/>
      <c r="C360" s="3"/>
      <c r="D360" s="3"/>
      <c r="E360" s="3"/>
      <c r="F360" s="3"/>
      <c r="G360" s="3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4"/>
      <c r="S360" s="5"/>
      <c r="T360" s="3"/>
      <c r="U360" s="3"/>
    </row>
    <row r="361" ht="33.0" customHeight="1">
      <c r="A361" s="3"/>
      <c r="B361" s="3"/>
      <c r="C361" s="3"/>
      <c r="D361" s="3"/>
      <c r="E361" s="3"/>
      <c r="F361" s="3"/>
      <c r="G361" s="3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4"/>
      <c r="S361" s="5"/>
      <c r="T361" s="3"/>
      <c r="U361" s="3"/>
    </row>
    <row r="362" ht="33.0" customHeight="1">
      <c r="A362" s="3"/>
      <c r="B362" s="3"/>
      <c r="C362" s="3"/>
      <c r="D362" s="3"/>
      <c r="E362" s="3"/>
      <c r="F362" s="3"/>
      <c r="G362" s="3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4"/>
      <c r="S362" s="5"/>
      <c r="T362" s="3"/>
      <c r="U362" s="3"/>
    </row>
    <row r="363" ht="33.0" customHeight="1">
      <c r="A363" s="3"/>
      <c r="B363" s="3"/>
      <c r="C363" s="3"/>
      <c r="D363" s="3"/>
      <c r="E363" s="3"/>
      <c r="F363" s="3"/>
      <c r="G363" s="3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4"/>
      <c r="S363" s="5"/>
      <c r="T363" s="3"/>
      <c r="U363" s="3"/>
    </row>
    <row r="364" ht="33.0" customHeight="1">
      <c r="A364" s="3"/>
      <c r="B364" s="3"/>
      <c r="C364" s="3"/>
      <c r="D364" s="3"/>
      <c r="E364" s="3"/>
      <c r="F364" s="3"/>
      <c r="G364" s="3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4"/>
      <c r="S364" s="5"/>
      <c r="T364" s="3"/>
      <c r="U364" s="3"/>
    </row>
    <row r="365" ht="33.0" customHeight="1">
      <c r="A365" s="3"/>
      <c r="B365" s="3"/>
      <c r="C365" s="3"/>
      <c r="D365" s="3"/>
      <c r="E365" s="3"/>
      <c r="F365" s="3"/>
      <c r="G365" s="3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4"/>
      <c r="S365" s="5"/>
      <c r="T365" s="3"/>
      <c r="U365" s="3"/>
    </row>
    <row r="366" ht="33.0" customHeight="1">
      <c r="A366" s="3"/>
      <c r="B366" s="3"/>
      <c r="C366" s="3"/>
      <c r="D366" s="3"/>
      <c r="E366" s="3"/>
      <c r="F366" s="3"/>
      <c r="G366" s="3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4"/>
      <c r="S366" s="5"/>
      <c r="T366" s="3"/>
      <c r="U366" s="3"/>
    </row>
    <row r="367" ht="33.0" customHeight="1">
      <c r="A367" s="3"/>
      <c r="B367" s="3"/>
      <c r="C367" s="3"/>
      <c r="D367" s="3"/>
      <c r="E367" s="3"/>
      <c r="F367" s="3"/>
      <c r="G367" s="3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4"/>
      <c r="S367" s="5"/>
      <c r="T367" s="3"/>
      <c r="U367" s="3"/>
    </row>
    <row r="368" ht="33.0" customHeight="1">
      <c r="A368" s="3"/>
      <c r="B368" s="3"/>
      <c r="C368" s="3"/>
      <c r="D368" s="3"/>
      <c r="E368" s="3"/>
      <c r="F368" s="3"/>
      <c r="G368" s="3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4"/>
      <c r="S368" s="5"/>
      <c r="T368" s="3"/>
      <c r="U368" s="3"/>
    </row>
    <row r="369" ht="33.0" customHeight="1">
      <c r="A369" s="3"/>
      <c r="B369" s="3"/>
      <c r="C369" s="3"/>
      <c r="D369" s="3"/>
      <c r="E369" s="3"/>
      <c r="F369" s="3"/>
      <c r="G369" s="3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4"/>
      <c r="S369" s="5"/>
      <c r="T369" s="3"/>
      <c r="U369" s="3"/>
    </row>
    <row r="370" ht="33.0" customHeight="1">
      <c r="A370" s="3"/>
      <c r="B370" s="3"/>
      <c r="C370" s="3"/>
      <c r="D370" s="3"/>
      <c r="E370" s="3"/>
      <c r="F370" s="3"/>
      <c r="G370" s="3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4"/>
      <c r="S370" s="5"/>
      <c r="T370" s="3"/>
      <c r="U370" s="3"/>
    </row>
    <row r="371" ht="33.0" customHeight="1">
      <c r="A371" s="3"/>
      <c r="B371" s="3"/>
      <c r="C371" s="3"/>
      <c r="D371" s="3"/>
      <c r="E371" s="3"/>
      <c r="F371" s="3"/>
      <c r="G371" s="3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4"/>
      <c r="S371" s="5"/>
      <c r="T371" s="3"/>
      <c r="U371" s="3"/>
    </row>
    <row r="372" ht="33.0" customHeight="1">
      <c r="A372" s="3"/>
      <c r="B372" s="3"/>
      <c r="C372" s="3"/>
      <c r="D372" s="3"/>
      <c r="E372" s="3"/>
      <c r="F372" s="3"/>
      <c r="G372" s="3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4"/>
      <c r="S372" s="5"/>
      <c r="T372" s="3"/>
      <c r="U372" s="3"/>
    </row>
    <row r="373" ht="33.0" customHeight="1">
      <c r="A373" s="3"/>
      <c r="B373" s="3"/>
      <c r="C373" s="3"/>
      <c r="D373" s="3"/>
      <c r="E373" s="3"/>
      <c r="F373" s="3"/>
      <c r="G373" s="3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4"/>
      <c r="S373" s="5"/>
      <c r="T373" s="3"/>
      <c r="U373" s="3"/>
    </row>
    <row r="374" ht="33.0" customHeight="1">
      <c r="A374" s="3"/>
      <c r="B374" s="3"/>
      <c r="C374" s="3"/>
      <c r="D374" s="3"/>
      <c r="E374" s="3"/>
      <c r="F374" s="3"/>
      <c r="G374" s="3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4"/>
      <c r="S374" s="5"/>
      <c r="T374" s="3"/>
      <c r="U374" s="3"/>
    </row>
    <row r="375" ht="33.0" customHeight="1">
      <c r="A375" s="3"/>
      <c r="B375" s="3"/>
      <c r="C375" s="3"/>
      <c r="D375" s="3"/>
      <c r="E375" s="3"/>
      <c r="F375" s="3"/>
      <c r="G375" s="3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4"/>
      <c r="S375" s="5"/>
      <c r="T375" s="3"/>
      <c r="U375" s="3"/>
    </row>
    <row r="376" ht="33.0" customHeight="1">
      <c r="A376" s="3"/>
      <c r="B376" s="3"/>
      <c r="C376" s="3"/>
      <c r="D376" s="3"/>
      <c r="E376" s="3"/>
      <c r="F376" s="3"/>
      <c r="G376" s="3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4"/>
      <c r="S376" s="5"/>
      <c r="T376" s="3"/>
      <c r="U376" s="3"/>
    </row>
    <row r="377" ht="33.0" customHeight="1">
      <c r="A377" s="3"/>
      <c r="B377" s="3"/>
      <c r="C377" s="3"/>
      <c r="D377" s="3"/>
      <c r="E377" s="3"/>
      <c r="F377" s="3"/>
      <c r="G377" s="3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4"/>
      <c r="S377" s="5"/>
      <c r="T377" s="3"/>
      <c r="U377" s="3"/>
    </row>
    <row r="378" ht="33.0" customHeight="1">
      <c r="A378" s="3"/>
      <c r="B378" s="3"/>
      <c r="C378" s="3"/>
      <c r="D378" s="3"/>
      <c r="E378" s="3"/>
      <c r="F378" s="3"/>
      <c r="G378" s="3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4"/>
      <c r="S378" s="5"/>
      <c r="T378" s="3"/>
      <c r="U378" s="3"/>
    </row>
    <row r="379" ht="33.0" customHeight="1">
      <c r="A379" s="3"/>
      <c r="B379" s="3"/>
      <c r="C379" s="3"/>
      <c r="D379" s="3"/>
      <c r="E379" s="3"/>
      <c r="F379" s="3"/>
      <c r="G379" s="3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4"/>
      <c r="S379" s="5"/>
      <c r="T379" s="3"/>
      <c r="U379" s="3"/>
    </row>
    <row r="380" ht="33.0" customHeight="1">
      <c r="A380" s="3"/>
      <c r="B380" s="3"/>
      <c r="C380" s="3"/>
      <c r="D380" s="3"/>
      <c r="E380" s="3"/>
      <c r="F380" s="3"/>
      <c r="G380" s="3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4"/>
      <c r="S380" s="5"/>
      <c r="T380" s="3"/>
      <c r="U380" s="3"/>
    </row>
    <row r="381" ht="33.0" customHeight="1">
      <c r="A381" s="3"/>
      <c r="B381" s="3"/>
      <c r="C381" s="3"/>
      <c r="D381" s="3"/>
      <c r="E381" s="3"/>
      <c r="F381" s="3"/>
      <c r="G381" s="3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4"/>
      <c r="S381" s="5"/>
      <c r="T381" s="3"/>
      <c r="U381" s="3"/>
    </row>
    <row r="382" ht="33.0" customHeight="1">
      <c r="A382" s="3"/>
      <c r="B382" s="3"/>
      <c r="C382" s="3"/>
      <c r="D382" s="3"/>
      <c r="E382" s="3"/>
      <c r="F382" s="3"/>
      <c r="G382" s="3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4"/>
      <c r="S382" s="5"/>
      <c r="T382" s="3"/>
      <c r="U382" s="3"/>
    </row>
    <row r="383" ht="33.0" customHeight="1">
      <c r="A383" s="3"/>
      <c r="B383" s="3"/>
      <c r="C383" s="3"/>
      <c r="D383" s="3"/>
      <c r="E383" s="3"/>
      <c r="F383" s="3"/>
      <c r="G383" s="3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4"/>
      <c r="S383" s="5"/>
      <c r="T383" s="3"/>
      <c r="U383" s="3"/>
    </row>
    <row r="384" ht="33.0" customHeight="1">
      <c r="A384" s="3"/>
      <c r="B384" s="3"/>
      <c r="C384" s="3"/>
      <c r="D384" s="3"/>
      <c r="E384" s="3"/>
      <c r="F384" s="3"/>
      <c r="G384" s="3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4"/>
      <c r="S384" s="5"/>
      <c r="T384" s="3"/>
      <c r="U384" s="3"/>
    </row>
    <row r="385" ht="33.0" customHeight="1">
      <c r="A385" s="3"/>
      <c r="B385" s="3"/>
      <c r="C385" s="3"/>
      <c r="D385" s="3"/>
      <c r="E385" s="3"/>
      <c r="F385" s="3"/>
      <c r="G385" s="3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4"/>
      <c r="S385" s="5"/>
      <c r="T385" s="3"/>
      <c r="U385" s="3"/>
    </row>
    <row r="386" ht="33.0" customHeight="1">
      <c r="A386" s="3"/>
      <c r="B386" s="3"/>
      <c r="C386" s="3"/>
      <c r="D386" s="3"/>
      <c r="E386" s="3"/>
      <c r="F386" s="3"/>
      <c r="G386" s="3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4"/>
      <c r="S386" s="5"/>
      <c r="T386" s="3"/>
      <c r="U386" s="3"/>
    </row>
    <row r="387" ht="33.0" customHeight="1">
      <c r="A387" s="3"/>
      <c r="B387" s="3"/>
      <c r="C387" s="3"/>
      <c r="D387" s="3"/>
      <c r="E387" s="3"/>
      <c r="F387" s="3"/>
      <c r="G387" s="3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4"/>
      <c r="S387" s="5"/>
      <c r="T387" s="3"/>
      <c r="U387" s="3"/>
    </row>
    <row r="388" ht="33.0" customHeight="1">
      <c r="A388" s="3"/>
      <c r="B388" s="3"/>
      <c r="C388" s="3"/>
      <c r="D388" s="3"/>
      <c r="E388" s="3"/>
      <c r="F388" s="3"/>
      <c r="G388" s="3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4"/>
      <c r="S388" s="5"/>
      <c r="T388" s="3"/>
      <c r="U388" s="3"/>
    </row>
    <row r="389" ht="33.0" customHeight="1">
      <c r="A389" s="3"/>
      <c r="B389" s="3"/>
      <c r="C389" s="3"/>
      <c r="D389" s="3"/>
      <c r="E389" s="3"/>
      <c r="F389" s="3"/>
      <c r="G389" s="3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4"/>
      <c r="S389" s="5"/>
      <c r="T389" s="3"/>
      <c r="U389" s="3"/>
    </row>
    <row r="390" ht="33.0" customHeight="1">
      <c r="A390" s="3"/>
      <c r="B390" s="3"/>
      <c r="C390" s="3"/>
      <c r="D390" s="3"/>
      <c r="E390" s="3"/>
      <c r="F390" s="3"/>
      <c r="G390" s="3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4"/>
      <c r="S390" s="5"/>
      <c r="T390" s="3"/>
      <c r="U390" s="3"/>
    </row>
    <row r="391" ht="33.0" customHeight="1">
      <c r="A391" s="3"/>
      <c r="B391" s="3"/>
      <c r="C391" s="3"/>
      <c r="D391" s="3"/>
      <c r="E391" s="3"/>
      <c r="F391" s="3"/>
      <c r="G391" s="3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4"/>
      <c r="S391" s="5"/>
      <c r="T391" s="3"/>
      <c r="U391" s="3"/>
    </row>
    <row r="392" ht="33.0" customHeight="1">
      <c r="A392" s="3"/>
      <c r="B392" s="3"/>
      <c r="C392" s="3"/>
      <c r="D392" s="3"/>
      <c r="E392" s="3"/>
      <c r="F392" s="3"/>
      <c r="G392" s="3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4"/>
      <c r="S392" s="5"/>
      <c r="T392" s="3"/>
      <c r="U392" s="3"/>
    </row>
    <row r="393" ht="33.0" customHeight="1">
      <c r="A393" s="3"/>
      <c r="B393" s="3"/>
      <c r="C393" s="3"/>
      <c r="D393" s="3"/>
      <c r="E393" s="3"/>
      <c r="F393" s="3"/>
      <c r="G393" s="3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4"/>
      <c r="S393" s="5"/>
      <c r="T393" s="3"/>
      <c r="U393" s="3"/>
    </row>
    <row r="394" ht="33.0" customHeight="1">
      <c r="A394" s="3"/>
      <c r="B394" s="3"/>
      <c r="C394" s="3"/>
      <c r="D394" s="3"/>
      <c r="E394" s="3"/>
      <c r="F394" s="3"/>
      <c r="G394" s="3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4"/>
      <c r="S394" s="5"/>
      <c r="T394" s="3"/>
      <c r="U394" s="3"/>
    </row>
    <row r="395" ht="33.0" customHeight="1">
      <c r="A395" s="3"/>
      <c r="B395" s="3"/>
      <c r="C395" s="3"/>
      <c r="D395" s="3"/>
      <c r="E395" s="3"/>
      <c r="F395" s="3"/>
      <c r="G395" s="3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4"/>
      <c r="S395" s="5"/>
      <c r="T395" s="3"/>
      <c r="U395" s="3"/>
    </row>
    <row r="396" ht="33.0" customHeight="1">
      <c r="A396" s="3"/>
      <c r="B396" s="3"/>
      <c r="C396" s="3"/>
      <c r="D396" s="3"/>
      <c r="E396" s="3"/>
      <c r="F396" s="3"/>
      <c r="G396" s="3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4"/>
      <c r="S396" s="5"/>
      <c r="T396" s="3"/>
      <c r="U396" s="3"/>
    </row>
    <row r="397" ht="33.0" customHeight="1">
      <c r="A397" s="3"/>
      <c r="B397" s="3"/>
      <c r="C397" s="3"/>
      <c r="D397" s="3"/>
      <c r="E397" s="3"/>
      <c r="F397" s="3"/>
      <c r="G397" s="3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4"/>
      <c r="S397" s="5"/>
      <c r="T397" s="3"/>
      <c r="U397" s="3"/>
    </row>
    <row r="398" ht="33.0" customHeight="1">
      <c r="A398" s="3"/>
      <c r="B398" s="3"/>
      <c r="C398" s="3"/>
      <c r="D398" s="3"/>
      <c r="E398" s="3"/>
      <c r="F398" s="3"/>
      <c r="G398" s="3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4"/>
      <c r="S398" s="5"/>
      <c r="T398" s="3"/>
      <c r="U398" s="3"/>
    </row>
    <row r="399" ht="33.0" customHeight="1">
      <c r="A399" s="3"/>
      <c r="B399" s="3"/>
      <c r="C399" s="3"/>
      <c r="D399" s="3"/>
      <c r="E399" s="3"/>
      <c r="F399" s="3"/>
      <c r="G399" s="3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4"/>
      <c r="S399" s="5"/>
      <c r="T399" s="3"/>
      <c r="U399" s="3"/>
    </row>
    <row r="400" ht="33.0" customHeight="1">
      <c r="A400" s="3"/>
      <c r="B400" s="3"/>
      <c r="C400" s="3"/>
      <c r="D400" s="3"/>
      <c r="E400" s="3"/>
      <c r="F400" s="3"/>
      <c r="G400" s="3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4"/>
      <c r="S400" s="5"/>
      <c r="T400" s="3"/>
      <c r="U400" s="3"/>
    </row>
    <row r="401" ht="33.0" customHeight="1">
      <c r="A401" s="3"/>
      <c r="B401" s="3"/>
      <c r="C401" s="3"/>
      <c r="D401" s="3"/>
      <c r="E401" s="3"/>
      <c r="F401" s="3"/>
      <c r="G401" s="3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4"/>
      <c r="S401" s="5"/>
      <c r="T401" s="3"/>
      <c r="U401" s="3"/>
    </row>
    <row r="402" ht="33.0" customHeight="1">
      <c r="A402" s="3"/>
      <c r="B402" s="3"/>
      <c r="C402" s="3"/>
      <c r="D402" s="3"/>
      <c r="E402" s="3"/>
      <c r="F402" s="3"/>
      <c r="G402" s="3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4"/>
      <c r="S402" s="5"/>
      <c r="T402" s="3"/>
      <c r="U402" s="3"/>
    </row>
    <row r="403" ht="33.0" customHeight="1">
      <c r="A403" s="3"/>
      <c r="B403" s="3"/>
      <c r="C403" s="3"/>
      <c r="D403" s="3"/>
      <c r="E403" s="3"/>
      <c r="F403" s="3"/>
      <c r="G403" s="3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4"/>
      <c r="S403" s="5"/>
      <c r="T403" s="3"/>
      <c r="U403" s="3"/>
    </row>
    <row r="404" ht="33.0" customHeight="1">
      <c r="A404" s="3"/>
      <c r="B404" s="3"/>
      <c r="C404" s="3"/>
      <c r="D404" s="3"/>
      <c r="E404" s="3"/>
      <c r="F404" s="3"/>
      <c r="G404" s="3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4"/>
      <c r="S404" s="5"/>
      <c r="T404" s="3"/>
      <c r="U404" s="3"/>
    </row>
    <row r="405" ht="33.0" customHeight="1">
      <c r="A405" s="3"/>
      <c r="B405" s="3"/>
      <c r="C405" s="3"/>
      <c r="D405" s="3"/>
      <c r="E405" s="3"/>
      <c r="F405" s="3"/>
      <c r="G405" s="3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4"/>
      <c r="S405" s="5"/>
      <c r="T405" s="3"/>
      <c r="U405" s="3"/>
    </row>
    <row r="406" ht="33.0" customHeight="1">
      <c r="A406" s="3"/>
      <c r="B406" s="3"/>
      <c r="C406" s="3"/>
      <c r="D406" s="3"/>
      <c r="E406" s="3"/>
      <c r="F406" s="3"/>
      <c r="G406" s="3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4"/>
      <c r="S406" s="5"/>
      <c r="T406" s="3"/>
      <c r="U406" s="3"/>
    </row>
    <row r="407" ht="33.0" customHeight="1">
      <c r="A407" s="3"/>
      <c r="B407" s="3"/>
      <c r="C407" s="3"/>
      <c r="D407" s="3"/>
      <c r="E407" s="3"/>
      <c r="F407" s="3"/>
      <c r="G407" s="3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4"/>
      <c r="S407" s="5"/>
      <c r="T407" s="3"/>
      <c r="U407" s="3"/>
    </row>
    <row r="408" ht="33.0" customHeight="1">
      <c r="A408" s="3"/>
      <c r="B408" s="3"/>
      <c r="C408" s="3"/>
      <c r="D408" s="3"/>
      <c r="E408" s="3"/>
      <c r="F408" s="3"/>
      <c r="G408" s="3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4"/>
      <c r="S408" s="5"/>
      <c r="T408" s="3"/>
      <c r="U408" s="3"/>
    </row>
    <row r="409" ht="33.0" customHeight="1">
      <c r="A409" s="3"/>
      <c r="B409" s="3"/>
      <c r="C409" s="3"/>
      <c r="D409" s="3"/>
      <c r="E409" s="3"/>
      <c r="F409" s="3"/>
      <c r="G409" s="3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4"/>
      <c r="S409" s="5"/>
      <c r="T409" s="3"/>
      <c r="U409" s="3"/>
    </row>
    <row r="410" ht="33.0" customHeight="1">
      <c r="A410" s="3"/>
      <c r="B410" s="3"/>
      <c r="C410" s="3"/>
      <c r="D410" s="3"/>
      <c r="E410" s="3"/>
      <c r="F410" s="3"/>
      <c r="G410" s="3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4"/>
      <c r="S410" s="5"/>
      <c r="T410" s="3"/>
      <c r="U410" s="3"/>
    </row>
    <row r="411" ht="33.0" customHeight="1">
      <c r="A411" s="3"/>
      <c r="B411" s="3"/>
      <c r="C411" s="3"/>
      <c r="D411" s="3"/>
      <c r="E411" s="3"/>
      <c r="F411" s="3"/>
      <c r="G411" s="3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4"/>
      <c r="S411" s="5"/>
      <c r="T411" s="3"/>
      <c r="U411" s="3"/>
    </row>
    <row r="412" ht="33.0" customHeight="1">
      <c r="A412" s="3"/>
      <c r="B412" s="3"/>
      <c r="C412" s="3"/>
      <c r="D412" s="3"/>
      <c r="E412" s="3"/>
      <c r="F412" s="3"/>
      <c r="G412" s="3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4"/>
      <c r="S412" s="5"/>
      <c r="T412" s="3"/>
      <c r="U412" s="3"/>
    </row>
    <row r="413" ht="33.0" customHeight="1">
      <c r="A413" s="3"/>
      <c r="B413" s="3"/>
      <c r="C413" s="3"/>
      <c r="D413" s="3"/>
      <c r="E413" s="3"/>
      <c r="F413" s="3"/>
      <c r="G413" s="3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4"/>
      <c r="S413" s="5"/>
      <c r="T413" s="3"/>
      <c r="U413" s="3"/>
    </row>
    <row r="414" ht="33.0" customHeight="1">
      <c r="A414" s="3"/>
      <c r="B414" s="3"/>
      <c r="C414" s="3"/>
      <c r="D414" s="3"/>
      <c r="E414" s="3"/>
      <c r="F414" s="3"/>
      <c r="G414" s="3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4"/>
      <c r="S414" s="5"/>
      <c r="T414" s="3"/>
      <c r="U414" s="3"/>
    </row>
    <row r="415" ht="33.0" customHeight="1">
      <c r="A415" s="3"/>
      <c r="B415" s="3"/>
      <c r="C415" s="3"/>
      <c r="D415" s="3"/>
      <c r="E415" s="3"/>
      <c r="F415" s="3"/>
      <c r="G415" s="3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4"/>
      <c r="S415" s="5"/>
      <c r="T415" s="3"/>
      <c r="U415" s="3"/>
    </row>
    <row r="416" ht="33.0" customHeight="1">
      <c r="A416" s="3"/>
      <c r="B416" s="3"/>
      <c r="C416" s="3"/>
      <c r="D416" s="3"/>
      <c r="E416" s="3"/>
      <c r="F416" s="3"/>
      <c r="G416" s="3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4"/>
      <c r="S416" s="5"/>
      <c r="T416" s="3"/>
      <c r="U416" s="3"/>
    </row>
    <row r="417" ht="33.0" customHeight="1">
      <c r="A417" s="3"/>
      <c r="B417" s="3"/>
      <c r="C417" s="3"/>
      <c r="D417" s="3"/>
      <c r="E417" s="3"/>
      <c r="F417" s="3"/>
      <c r="G417" s="3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4"/>
      <c r="S417" s="5"/>
      <c r="T417" s="3"/>
      <c r="U417" s="3"/>
    </row>
    <row r="418" ht="33.0" customHeight="1">
      <c r="A418" s="3"/>
      <c r="B418" s="3"/>
      <c r="C418" s="3"/>
      <c r="D418" s="3"/>
      <c r="E418" s="3"/>
      <c r="F418" s="3"/>
      <c r="G418" s="3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4"/>
      <c r="S418" s="5"/>
      <c r="T418" s="3"/>
      <c r="U418" s="3"/>
    </row>
    <row r="419" ht="33.0" customHeight="1">
      <c r="A419" s="3"/>
      <c r="B419" s="3"/>
      <c r="C419" s="3"/>
      <c r="D419" s="3"/>
      <c r="E419" s="3"/>
      <c r="F419" s="3"/>
      <c r="G419" s="3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4"/>
      <c r="S419" s="5"/>
      <c r="T419" s="3"/>
      <c r="U419" s="3"/>
    </row>
    <row r="420" ht="33.0" customHeight="1">
      <c r="A420" s="3"/>
      <c r="B420" s="3"/>
      <c r="C420" s="3"/>
      <c r="D420" s="3"/>
      <c r="E420" s="3"/>
      <c r="F420" s="3"/>
      <c r="G420" s="3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4"/>
      <c r="S420" s="5"/>
      <c r="T420" s="3"/>
      <c r="U420" s="3"/>
    </row>
    <row r="421" ht="33.0" customHeight="1">
      <c r="A421" s="3"/>
      <c r="B421" s="3"/>
      <c r="C421" s="3"/>
      <c r="D421" s="3"/>
      <c r="E421" s="3"/>
      <c r="F421" s="3"/>
      <c r="G421" s="3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4"/>
      <c r="S421" s="5"/>
      <c r="T421" s="3"/>
      <c r="U421" s="3"/>
    </row>
    <row r="422" ht="33.0" customHeight="1">
      <c r="A422" s="3"/>
      <c r="B422" s="3"/>
      <c r="C422" s="3"/>
      <c r="D422" s="3"/>
      <c r="E422" s="3"/>
      <c r="F422" s="3"/>
      <c r="G422" s="3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4"/>
      <c r="S422" s="5"/>
      <c r="T422" s="3"/>
      <c r="U422" s="3"/>
    </row>
    <row r="423" ht="33.0" customHeight="1">
      <c r="A423" s="3"/>
      <c r="B423" s="3"/>
      <c r="C423" s="3"/>
      <c r="D423" s="3"/>
      <c r="E423" s="3"/>
      <c r="F423" s="3"/>
      <c r="G423" s="3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4"/>
      <c r="S423" s="5"/>
      <c r="T423" s="3"/>
      <c r="U423" s="3"/>
    </row>
    <row r="424" ht="33.0" customHeight="1">
      <c r="A424" s="3"/>
      <c r="B424" s="3"/>
      <c r="C424" s="3"/>
      <c r="D424" s="3"/>
      <c r="E424" s="3"/>
      <c r="F424" s="3"/>
      <c r="G424" s="3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4"/>
      <c r="S424" s="5"/>
      <c r="T424" s="3"/>
      <c r="U424" s="3"/>
    </row>
    <row r="425" ht="33.0" customHeight="1">
      <c r="A425" s="3"/>
      <c r="B425" s="3"/>
      <c r="C425" s="3"/>
      <c r="D425" s="3"/>
      <c r="E425" s="3"/>
      <c r="F425" s="3"/>
      <c r="G425" s="3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4"/>
      <c r="S425" s="5"/>
      <c r="T425" s="3"/>
      <c r="U425" s="3"/>
    </row>
    <row r="426" ht="33.0" customHeight="1">
      <c r="A426" s="3"/>
      <c r="B426" s="3"/>
      <c r="C426" s="3"/>
      <c r="D426" s="3"/>
      <c r="E426" s="3"/>
      <c r="F426" s="3"/>
      <c r="G426" s="3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4"/>
      <c r="S426" s="5"/>
      <c r="T426" s="3"/>
      <c r="U426" s="3"/>
    </row>
    <row r="427" ht="33.0" customHeight="1">
      <c r="A427" s="3"/>
      <c r="B427" s="3"/>
      <c r="C427" s="3"/>
      <c r="D427" s="3"/>
      <c r="E427" s="3"/>
      <c r="F427" s="3"/>
      <c r="G427" s="3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4"/>
      <c r="S427" s="5"/>
      <c r="T427" s="3"/>
      <c r="U427" s="3"/>
    </row>
    <row r="428" ht="33.0" customHeight="1">
      <c r="A428" s="3"/>
      <c r="B428" s="3"/>
      <c r="C428" s="3"/>
      <c r="D428" s="3"/>
      <c r="E428" s="3"/>
      <c r="F428" s="3"/>
      <c r="G428" s="3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4"/>
      <c r="S428" s="5"/>
      <c r="T428" s="3"/>
      <c r="U428" s="3"/>
    </row>
    <row r="429" ht="33.0" customHeight="1">
      <c r="A429" s="3"/>
      <c r="B429" s="3"/>
      <c r="C429" s="3"/>
      <c r="D429" s="3"/>
      <c r="E429" s="3"/>
      <c r="F429" s="3"/>
      <c r="G429" s="3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4"/>
      <c r="S429" s="5"/>
      <c r="T429" s="3"/>
      <c r="U429" s="3"/>
    </row>
    <row r="430" ht="33.0" customHeight="1">
      <c r="A430" s="3"/>
      <c r="B430" s="3"/>
      <c r="C430" s="3"/>
      <c r="D430" s="3"/>
      <c r="E430" s="3"/>
      <c r="F430" s="3"/>
      <c r="G430" s="3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4"/>
      <c r="S430" s="5"/>
      <c r="T430" s="3"/>
      <c r="U430" s="3"/>
    </row>
    <row r="431" ht="33.0" customHeight="1">
      <c r="A431" s="3"/>
      <c r="B431" s="3"/>
      <c r="C431" s="3"/>
      <c r="D431" s="3"/>
      <c r="E431" s="3"/>
      <c r="F431" s="3"/>
      <c r="G431" s="3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4"/>
      <c r="S431" s="5"/>
      <c r="T431" s="3"/>
      <c r="U431" s="3"/>
    </row>
    <row r="432" ht="33.0" customHeight="1">
      <c r="A432" s="3"/>
      <c r="B432" s="3"/>
      <c r="C432" s="3"/>
      <c r="D432" s="3"/>
      <c r="E432" s="3"/>
      <c r="F432" s="3"/>
      <c r="G432" s="3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4"/>
      <c r="S432" s="5"/>
      <c r="T432" s="3"/>
      <c r="U432" s="3"/>
    </row>
    <row r="433" ht="33.0" customHeight="1">
      <c r="A433" s="3"/>
      <c r="B433" s="3"/>
      <c r="C433" s="3"/>
      <c r="D433" s="3"/>
      <c r="E433" s="3"/>
      <c r="F433" s="3"/>
      <c r="G433" s="3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4"/>
      <c r="S433" s="5"/>
      <c r="T433" s="3"/>
      <c r="U433" s="3"/>
    </row>
    <row r="434" ht="33.0" customHeight="1">
      <c r="A434" s="3"/>
      <c r="B434" s="3"/>
      <c r="C434" s="3"/>
      <c r="D434" s="3"/>
      <c r="E434" s="3"/>
      <c r="F434" s="3"/>
      <c r="G434" s="3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4"/>
      <c r="S434" s="5"/>
      <c r="T434" s="3"/>
      <c r="U434" s="3"/>
    </row>
    <row r="435" ht="33.0" customHeight="1">
      <c r="A435" s="3"/>
      <c r="B435" s="3"/>
      <c r="C435" s="3"/>
      <c r="D435" s="3"/>
      <c r="E435" s="3"/>
      <c r="F435" s="3"/>
      <c r="G435" s="3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4"/>
      <c r="S435" s="5"/>
      <c r="T435" s="3"/>
      <c r="U435" s="3"/>
    </row>
    <row r="436" ht="33.0" customHeight="1">
      <c r="A436" s="3"/>
      <c r="B436" s="3"/>
      <c r="C436" s="3"/>
      <c r="D436" s="3"/>
      <c r="E436" s="3"/>
      <c r="F436" s="3"/>
      <c r="G436" s="3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4"/>
      <c r="S436" s="5"/>
      <c r="T436" s="3"/>
      <c r="U436" s="3"/>
    </row>
    <row r="437" ht="33.0" customHeight="1">
      <c r="A437" s="3"/>
      <c r="B437" s="3"/>
      <c r="C437" s="3"/>
      <c r="D437" s="3"/>
      <c r="E437" s="3"/>
      <c r="F437" s="3"/>
      <c r="G437" s="3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4"/>
      <c r="S437" s="5"/>
      <c r="T437" s="3"/>
      <c r="U437" s="3"/>
    </row>
    <row r="438" ht="33.0" customHeight="1">
      <c r="A438" s="3"/>
      <c r="B438" s="3"/>
      <c r="C438" s="3"/>
      <c r="D438" s="3"/>
      <c r="E438" s="3"/>
      <c r="F438" s="3"/>
      <c r="G438" s="3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4"/>
      <c r="S438" s="5"/>
      <c r="T438" s="3"/>
      <c r="U438" s="3"/>
    </row>
    <row r="439" ht="33.0" customHeight="1">
      <c r="A439" s="3"/>
      <c r="B439" s="3"/>
      <c r="C439" s="3"/>
      <c r="D439" s="3"/>
      <c r="E439" s="3"/>
      <c r="F439" s="3"/>
      <c r="G439" s="3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4"/>
      <c r="S439" s="5"/>
      <c r="T439" s="3"/>
      <c r="U439" s="3"/>
    </row>
    <row r="440" ht="33.0" customHeight="1">
      <c r="A440" s="3"/>
      <c r="B440" s="3"/>
      <c r="C440" s="3"/>
      <c r="D440" s="3"/>
      <c r="E440" s="3"/>
      <c r="F440" s="3"/>
      <c r="G440" s="3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4"/>
      <c r="S440" s="5"/>
      <c r="T440" s="3"/>
      <c r="U440" s="3"/>
    </row>
    <row r="441" ht="33.0" customHeight="1">
      <c r="A441" s="3"/>
      <c r="B441" s="3"/>
      <c r="C441" s="3"/>
      <c r="D441" s="3"/>
      <c r="E441" s="3"/>
      <c r="F441" s="3"/>
      <c r="G441" s="3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4"/>
      <c r="S441" s="5"/>
      <c r="T441" s="3"/>
      <c r="U441" s="3"/>
    </row>
    <row r="442" ht="33.0" customHeight="1">
      <c r="A442" s="3"/>
      <c r="B442" s="3"/>
      <c r="C442" s="3"/>
      <c r="D442" s="3"/>
      <c r="E442" s="3"/>
      <c r="F442" s="3"/>
      <c r="G442" s="3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4"/>
      <c r="S442" s="5"/>
      <c r="T442" s="3"/>
      <c r="U442" s="3"/>
    </row>
    <row r="443" ht="33.0" customHeight="1">
      <c r="A443" s="3"/>
      <c r="B443" s="3"/>
      <c r="C443" s="3"/>
      <c r="D443" s="3"/>
      <c r="E443" s="3"/>
      <c r="F443" s="3"/>
      <c r="G443" s="3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4"/>
      <c r="S443" s="5"/>
      <c r="T443" s="3"/>
      <c r="U443" s="3"/>
    </row>
    <row r="444" ht="33.0" customHeight="1">
      <c r="A444" s="3"/>
      <c r="B444" s="3"/>
      <c r="C444" s="3"/>
      <c r="D444" s="3"/>
      <c r="E444" s="3"/>
      <c r="F444" s="3"/>
      <c r="G444" s="3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4"/>
      <c r="S444" s="5"/>
      <c r="T444" s="3"/>
      <c r="U444" s="3"/>
    </row>
    <row r="445" ht="33.0" customHeight="1">
      <c r="A445" s="3"/>
      <c r="B445" s="3"/>
      <c r="C445" s="3"/>
      <c r="D445" s="3"/>
      <c r="E445" s="3"/>
      <c r="F445" s="3"/>
      <c r="G445" s="3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4"/>
      <c r="S445" s="5"/>
      <c r="T445" s="3"/>
      <c r="U445" s="3"/>
    </row>
    <row r="446" ht="33.0" customHeight="1">
      <c r="A446" s="3"/>
      <c r="B446" s="3"/>
      <c r="C446" s="3"/>
      <c r="D446" s="3"/>
      <c r="E446" s="3"/>
      <c r="F446" s="3"/>
      <c r="G446" s="3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4"/>
      <c r="S446" s="5"/>
      <c r="T446" s="3"/>
      <c r="U446" s="3"/>
    </row>
    <row r="447" ht="33.0" customHeight="1">
      <c r="A447" s="3"/>
      <c r="B447" s="3"/>
      <c r="C447" s="3"/>
      <c r="D447" s="3"/>
      <c r="E447" s="3"/>
      <c r="F447" s="3"/>
      <c r="G447" s="3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4"/>
      <c r="S447" s="5"/>
      <c r="T447" s="3"/>
      <c r="U447" s="3"/>
    </row>
    <row r="448" ht="33.0" customHeight="1">
      <c r="A448" s="3"/>
      <c r="B448" s="3"/>
      <c r="C448" s="3"/>
      <c r="D448" s="3"/>
      <c r="E448" s="3"/>
      <c r="F448" s="3"/>
      <c r="G448" s="3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4"/>
      <c r="S448" s="5"/>
      <c r="T448" s="3"/>
      <c r="U448" s="3"/>
    </row>
    <row r="449" ht="33.0" customHeight="1">
      <c r="A449" s="3"/>
      <c r="B449" s="3"/>
      <c r="C449" s="3"/>
      <c r="D449" s="3"/>
      <c r="E449" s="3"/>
      <c r="F449" s="3"/>
      <c r="G449" s="3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4"/>
      <c r="S449" s="5"/>
      <c r="T449" s="3"/>
      <c r="U449" s="3"/>
    </row>
    <row r="450" ht="33.0" customHeight="1">
      <c r="A450" s="3"/>
      <c r="B450" s="3"/>
      <c r="C450" s="3"/>
      <c r="D450" s="3"/>
      <c r="E450" s="3"/>
      <c r="F450" s="3"/>
      <c r="G450" s="3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4"/>
      <c r="S450" s="5"/>
      <c r="T450" s="3"/>
      <c r="U450" s="3"/>
    </row>
    <row r="451" ht="33.0" customHeight="1">
      <c r="A451" s="3"/>
      <c r="B451" s="3"/>
      <c r="C451" s="3"/>
      <c r="D451" s="3"/>
      <c r="E451" s="3"/>
      <c r="F451" s="3"/>
      <c r="G451" s="3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4"/>
      <c r="S451" s="5"/>
      <c r="T451" s="3"/>
      <c r="U451" s="3"/>
    </row>
    <row r="452" ht="33.0" customHeight="1">
      <c r="A452" s="3"/>
      <c r="B452" s="3"/>
      <c r="C452" s="3"/>
      <c r="D452" s="3"/>
      <c r="E452" s="3"/>
      <c r="F452" s="3"/>
      <c r="G452" s="3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4"/>
      <c r="S452" s="5"/>
      <c r="T452" s="3"/>
      <c r="U452" s="3"/>
    </row>
    <row r="453" ht="33.0" customHeight="1">
      <c r="A453" s="3"/>
      <c r="B453" s="3"/>
      <c r="C453" s="3"/>
      <c r="D453" s="3"/>
      <c r="E453" s="3"/>
      <c r="F453" s="3"/>
      <c r="G453" s="3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4"/>
      <c r="S453" s="5"/>
      <c r="T453" s="3"/>
      <c r="U453" s="3"/>
    </row>
    <row r="454" ht="33.0" customHeight="1">
      <c r="A454" s="3"/>
      <c r="B454" s="3"/>
      <c r="C454" s="3"/>
      <c r="D454" s="3"/>
      <c r="E454" s="3"/>
      <c r="F454" s="3"/>
      <c r="G454" s="3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4"/>
      <c r="S454" s="5"/>
      <c r="T454" s="3"/>
      <c r="U454" s="3"/>
    </row>
    <row r="455" ht="33.0" customHeight="1">
      <c r="A455" s="3"/>
      <c r="B455" s="3"/>
      <c r="C455" s="3"/>
      <c r="D455" s="3"/>
      <c r="E455" s="3"/>
      <c r="F455" s="3"/>
      <c r="G455" s="3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4"/>
      <c r="S455" s="5"/>
      <c r="T455" s="3"/>
      <c r="U455" s="3"/>
    </row>
    <row r="456" ht="33.0" customHeight="1">
      <c r="A456" s="3"/>
      <c r="B456" s="3"/>
      <c r="C456" s="3"/>
      <c r="D456" s="3"/>
      <c r="E456" s="3"/>
      <c r="F456" s="3"/>
      <c r="G456" s="3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4"/>
      <c r="S456" s="5"/>
      <c r="T456" s="3"/>
      <c r="U456" s="3"/>
    </row>
    <row r="457" ht="33.0" customHeight="1">
      <c r="A457" s="3"/>
      <c r="B457" s="3"/>
      <c r="C457" s="3"/>
      <c r="D457" s="3"/>
      <c r="E457" s="3"/>
      <c r="F457" s="3"/>
      <c r="G457" s="3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4"/>
      <c r="S457" s="5"/>
      <c r="T457" s="3"/>
      <c r="U457" s="3"/>
    </row>
    <row r="458" ht="33.0" customHeight="1">
      <c r="A458" s="3"/>
      <c r="B458" s="3"/>
      <c r="C458" s="3"/>
      <c r="D458" s="3"/>
      <c r="E458" s="3"/>
      <c r="F458" s="3"/>
      <c r="G458" s="3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4"/>
      <c r="S458" s="5"/>
      <c r="T458" s="3"/>
      <c r="U458" s="3"/>
    </row>
    <row r="459" ht="33.0" customHeight="1">
      <c r="A459" s="3"/>
      <c r="B459" s="3"/>
      <c r="C459" s="3"/>
      <c r="D459" s="3"/>
      <c r="E459" s="3"/>
      <c r="F459" s="3"/>
      <c r="G459" s="3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4"/>
      <c r="S459" s="5"/>
      <c r="T459" s="3"/>
      <c r="U459" s="3"/>
    </row>
    <row r="460" ht="33.0" customHeight="1">
      <c r="A460" s="3"/>
      <c r="B460" s="3"/>
      <c r="C460" s="3"/>
      <c r="D460" s="3"/>
      <c r="E460" s="3"/>
      <c r="F460" s="3"/>
      <c r="G460" s="3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4"/>
      <c r="S460" s="5"/>
      <c r="T460" s="3"/>
      <c r="U460" s="3"/>
    </row>
    <row r="461" ht="33.0" customHeight="1">
      <c r="A461" s="3"/>
      <c r="B461" s="3"/>
      <c r="C461" s="3"/>
      <c r="D461" s="3"/>
      <c r="E461" s="3"/>
      <c r="F461" s="3"/>
      <c r="G461" s="3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4"/>
      <c r="S461" s="5"/>
      <c r="T461" s="3"/>
      <c r="U461" s="3"/>
    </row>
    <row r="462" ht="33.0" customHeight="1">
      <c r="A462" s="3"/>
      <c r="B462" s="3"/>
      <c r="C462" s="3"/>
      <c r="D462" s="3"/>
      <c r="E462" s="3"/>
      <c r="F462" s="3"/>
      <c r="G462" s="3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4"/>
      <c r="S462" s="5"/>
      <c r="T462" s="3"/>
      <c r="U462" s="3"/>
    </row>
    <row r="463" ht="33.0" customHeight="1">
      <c r="A463" s="3"/>
      <c r="B463" s="3"/>
      <c r="C463" s="3"/>
      <c r="D463" s="3"/>
      <c r="E463" s="3"/>
      <c r="F463" s="3"/>
      <c r="G463" s="3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4"/>
      <c r="S463" s="5"/>
      <c r="T463" s="3"/>
      <c r="U463" s="3"/>
    </row>
    <row r="464" ht="33.0" customHeight="1">
      <c r="A464" s="3"/>
      <c r="B464" s="3"/>
      <c r="C464" s="3"/>
      <c r="D464" s="3"/>
      <c r="E464" s="3"/>
      <c r="F464" s="3"/>
      <c r="G464" s="3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4"/>
      <c r="S464" s="5"/>
      <c r="T464" s="3"/>
      <c r="U464" s="3"/>
    </row>
    <row r="465" ht="33.0" customHeight="1">
      <c r="A465" s="3"/>
      <c r="B465" s="3"/>
      <c r="C465" s="3"/>
      <c r="D465" s="3"/>
      <c r="E465" s="3"/>
      <c r="F465" s="3"/>
      <c r="G465" s="3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4"/>
      <c r="S465" s="5"/>
      <c r="T465" s="3"/>
      <c r="U465" s="3"/>
    </row>
    <row r="466" ht="33.0" customHeight="1">
      <c r="A466" s="3"/>
      <c r="B466" s="3"/>
      <c r="C466" s="3"/>
      <c r="D466" s="3"/>
      <c r="E466" s="3"/>
      <c r="F466" s="3"/>
      <c r="G466" s="3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4"/>
      <c r="S466" s="5"/>
      <c r="T466" s="3"/>
      <c r="U466" s="3"/>
    </row>
    <row r="467" ht="33.0" customHeight="1">
      <c r="A467" s="3"/>
      <c r="B467" s="3"/>
      <c r="C467" s="3"/>
      <c r="D467" s="3"/>
      <c r="E467" s="3"/>
      <c r="F467" s="3"/>
      <c r="G467" s="3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4"/>
      <c r="S467" s="5"/>
      <c r="T467" s="3"/>
      <c r="U467" s="3"/>
    </row>
    <row r="468" ht="33.0" customHeight="1">
      <c r="A468" s="3"/>
      <c r="B468" s="3"/>
      <c r="C468" s="3"/>
      <c r="D468" s="3"/>
      <c r="E468" s="3"/>
      <c r="F468" s="3"/>
      <c r="G468" s="3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4"/>
      <c r="S468" s="5"/>
      <c r="T468" s="3"/>
      <c r="U468" s="3"/>
    </row>
    <row r="469" ht="33.0" customHeight="1">
      <c r="A469" s="3"/>
      <c r="B469" s="3"/>
      <c r="C469" s="3"/>
      <c r="D469" s="3"/>
      <c r="E469" s="3"/>
      <c r="F469" s="3"/>
      <c r="G469" s="3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4"/>
      <c r="S469" s="5"/>
      <c r="T469" s="3"/>
      <c r="U469" s="3"/>
    </row>
    <row r="470" ht="33.0" customHeight="1">
      <c r="A470" s="3"/>
      <c r="B470" s="3"/>
      <c r="C470" s="3"/>
      <c r="D470" s="3"/>
      <c r="E470" s="3"/>
      <c r="F470" s="3"/>
      <c r="G470" s="3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4"/>
      <c r="S470" s="5"/>
      <c r="T470" s="3"/>
      <c r="U470" s="3"/>
    </row>
    <row r="471" ht="33.0" customHeight="1">
      <c r="A471" s="3"/>
      <c r="B471" s="3"/>
      <c r="C471" s="3"/>
      <c r="D471" s="3"/>
      <c r="E471" s="3"/>
      <c r="F471" s="3"/>
      <c r="G471" s="3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4"/>
      <c r="S471" s="5"/>
      <c r="T471" s="3"/>
      <c r="U471" s="3"/>
    </row>
    <row r="472" ht="33.0" customHeight="1">
      <c r="A472" s="3"/>
      <c r="B472" s="3"/>
      <c r="C472" s="3"/>
      <c r="D472" s="3"/>
      <c r="E472" s="3"/>
      <c r="F472" s="3"/>
      <c r="G472" s="3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4"/>
      <c r="S472" s="5"/>
      <c r="T472" s="3"/>
      <c r="U472" s="3"/>
    </row>
    <row r="473" ht="33.0" customHeight="1">
      <c r="A473" s="3"/>
      <c r="B473" s="3"/>
      <c r="C473" s="3"/>
      <c r="D473" s="3"/>
      <c r="E473" s="3"/>
      <c r="F473" s="3"/>
      <c r="G473" s="3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4"/>
      <c r="S473" s="5"/>
      <c r="T473" s="3"/>
      <c r="U473" s="3"/>
    </row>
    <row r="474" ht="33.0" customHeight="1">
      <c r="A474" s="3"/>
      <c r="B474" s="3"/>
      <c r="C474" s="3"/>
      <c r="D474" s="3"/>
      <c r="E474" s="3"/>
      <c r="F474" s="3"/>
      <c r="G474" s="3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4"/>
      <c r="S474" s="5"/>
      <c r="T474" s="3"/>
      <c r="U474" s="3"/>
    </row>
    <row r="475" ht="33.0" customHeight="1">
      <c r="A475" s="3"/>
      <c r="B475" s="3"/>
      <c r="C475" s="3"/>
      <c r="D475" s="3"/>
      <c r="E475" s="3"/>
      <c r="F475" s="3"/>
      <c r="G475" s="3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4"/>
      <c r="S475" s="5"/>
      <c r="T475" s="3"/>
      <c r="U475" s="3"/>
    </row>
    <row r="476" ht="33.0" customHeight="1">
      <c r="A476" s="3"/>
      <c r="B476" s="3"/>
      <c r="C476" s="3"/>
      <c r="D476" s="3"/>
      <c r="E476" s="3"/>
      <c r="F476" s="3"/>
      <c r="G476" s="3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4"/>
      <c r="S476" s="5"/>
      <c r="T476" s="3"/>
      <c r="U476" s="3"/>
    </row>
    <row r="477" ht="33.0" customHeight="1">
      <c r="A477" s="3"/>
      <c r="B477" s="3"/>
      <c r="C477" s="3"/>
      <c r="D477" s="3"/>
      <c r="E477" s="3"/>
      <c r="F477" s="3"/>
      <c r="G477" s="3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4"/>
      <c r="S477" s="5"/>
      <c r="T477" s="3"/>
      <c r="U477" s="3"/>
    </row>
    <row r="478" ht="33.0" customHeight="1">
      <c r="A478" s="3"/>
      <c r="B478" s="3"/>
      <c r="C478" s="3"/>
      <c r="D478" s="3"/>
      <c r="E478" s="3"/>
      <c r="F478" s="3"/>
      <c r="G478" s="3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4"/>
      <c r="S478" s="5"/>
      <c r="T478" s="3"/>
      <c r="U478" s="3"/>
    </row>
    <row r="479" ht="33.0" customHeight="1">
      <c r="A479" s="3"/>
      <c r="B479" s="3"/>
      <c r="C479" s="3"/>
      <c r="D479" s="3"/>
      <c r="E479" s="3"/>
      <c r="F479" s="3"/>
      <c r="G479" s="3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4"/>
      <c r="S479" s="5"/>
      <c r="T479" s="3"/>
      <c r="U479" s="3"/>
    </row>
    <row r="480" ht="33.0" customHeight="1">
      <c r="A480" s="3"/>
      <c r="B480" s="3"/>
      <c r="C480" s="3"/>
      <c r="D480" s="3"/>
      <c r="E480" s="3"/>
      <c r="F480" s="3"/>
      <c r="G480" s="3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4"/>
      <c r="S480" s="5"/>
      <c r="T480" s="3"/>
      <c r="U480" s="3"/>
    </row>
    <row r="481" ht="33.0" customHeight="1">
      <c r="A481" s="3"/>
      <c r="B481" s="3"/>
      <c r="C481" s="3"/>
      <c r="D481" s="3"/>
      <c r="E481" s="3"/>
      <c r="F481" s="3"/>
      <c r="G481" s="3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4"/>
      <c r="S481" s="5"/>
      <c r="T481" s="3"/>
      <c r="U481" s="3"/>
    </row>
    <row r="482" ht="33.0" customHeight="1">
      <c r="A482" s="3"/>
      <c r="B482" s="3"/>
      <c r="C482" s="3"/>
      <c r="D482" s="3"/>
      <c r="E482" s="3"/>
      <c r="F482" s="3"/>
      <c r="G482" s="3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4"/>
      <c r="S482" s="5"/>
      <c r="T482" s="3"/>
      <c r="U482" s="3"/>
    </row>
    <row r="483" ht="33.0" customHeight="1">
      <c r="A483" s="3"/>
      <c r="B483" s="3"/>
      <c r="C483" s="3"/>
      <c r="D483" s="3"/>
      <c r="E483" s="3"/>
      <c r="F483" s="3"/>
      <c r="G483" s="3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4"/>
      <c r="S483" s="5"/>
      <c r="T483" s="3"/>
      <c r="U483" s="3"/>
    </row>
    <row r="484" ht="33.0" customHeight="1">
      <c r="A484" s="3"/>
      <c r="B484" s="3"/>
      <c r="C484" s="3"/>
      <c r="D484" s="3"/>
      <c r="E484" s="3"/>
      <c r="F484" s="3"/>
      <c r="G484" s="3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4"/>
      <c r="S484" s="5"/>
      <c r="T484" s="3"/>
      <c r="U484" s="3"/>
    </row>
    <row r="485" ht="33.0" customHeight="1">
      <c r="A485" s="3"/>
      <c r="B485" s="3"/>
      <c r="C485" s="3"/>
      <c r="D485" s="3"/>
      <c r="E485" s="3"/>
      <c r="F485" s="3"/>
      <c r="G485" s="3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4"/>
      <c r="S485" s="5"/>
      <c r="T485" s="3"/>
      <c r="U485" s="3"/>
    </row>
    <row r="486" ht="33.0" customHeight="1">
      <c r="A486" s="3"/>
      <c r="B486" s="3"/>
      <c r="C486" s="3"/>
      <c r="D486" s="3"/>
      <c r="E486" s="3"/>
      <c r="F486" s="3"/>
      <c r="G486" s="3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4"/>
      <c r="S486" s="5"/>
      <c r="T486" s="3"/>
      <c r="U486" s="3"/>
    </row>
    <row r="487" ht="33.0" customHeight="1">
      <c r="A487" s="3"/>
      <c r="B487" s="3"/>
      <c r="C487" s="3"/>
      <c r="D487" s="3"/>
      <c r="E487" s="3"/>
      <c r="F487" s="3"/>
      <c r="G487" s="3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4"/>
      <c r="S487" s="5"/>
      <c r="T487" s="3"/>
      <c r="U487" s="3"/>
    </row>
    <row r="488" ht="33.0" customHeight="1">
      <c r="A488" s="3"/>
      <c r="B488" s="3"/>
      <c r="C488" s="3"/>
      <c r="D488" s="3"/>
      <c r="E488" s="3"/>
      <c r="F488" s="3"/>
      <c r="G488" s="3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4"/>
      <c r="S488" s="5"/>
      <c r="T488" s="3"/>
      <c r="U488" s="3"/>
    </row>
    <row r="489" ht="33.0" customHeight="1">
      <c r="A489" s="3"/>
      <c r="B489" s="3"/>
      <c r="C489" s="3"/>
      <c r="D489" s="3"/>
      <c r="E489" s="3"/>
      <c r="F489" s="3"/>
      <c r="G489" s="3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4"/>
      <c r="S489" s="5"/>
      <c r="T489" s="3"/>
      <c r="U489" s="3"/>
    </row>
    <row r="490" ht="33.0" customHeight="1">
      <c r="A490" s="3"/>
      <c r="B490" s="3"/>
      <c r="C490" s="3"/>
      <c r="D490" s="3"/>
      <c r="E490" s="3"/>
      <c r="F490" s="3"/>
      <c r="G490" s="3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4"/>
      <c r="S490" s="5"/>
      <c r="T490" s="3"/>
      <c r="U490" s="3"/>
    </row>
    <row r="491" ht="33.0" customHeight="1">
      <c r="A491" s="3"/>
      <c r="B491" s="3"/>
      <c r="C491" s="3"/>
      <c r="D491" s="3"/>
      <c r="E491" s="3"/>
      <c r="F491" s="3"/>
      <c r="G491" s="3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4"/>
      <c r="S491" s="5"/>
      <c r="T491" s="3"/>
      <c r="U491" s="3"/>
    </row>
    <row r="492" ht="33.0" customHeight="1">
      <c r="A492" s="3"/>
      <c r="B492" s="3"/>
      <c r="C492" s="3"/>
      <c r="D492" s="3"/>
      <c r="E492" s="3"/>
      <c r="F492" s="3"/>
      <c r="G492" s="3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4"/>
      <c r="S492" s="5"/>
      <c r="T492" s="3"/>
      <c r="U492" s="3"/>
    </row>
    <row r="493" ht="33.0" customHeight="1">
      <c r="A493" s="3"/>
      <c r="B493" s="3"/>
      <c r="C493" s="3"/>
      <c r="D493" s="3"/>
      <c r="E493" s="3"/>
      <c r="F493" s="3"/>
      <c r="G493" s="3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4"/>
      <c r="S493" s="5"/>
      <c r="T493" s="3"/>
      <c r="U493" s="3"/>
    </row>
    <row r="494" ht="33.0" customHeight="1">
      <c r="A494" s="3"/>
      <c r="B494" s="3"/>
      <c r="C494" s="3"/>
      <c r="D494" s="3"/>
      <c r="E494" s="3"/>
      <c r="F494" s="3"/>
      <c r="G494" s="3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4"/>
      <c r="S494" s="5"/>
      <c r="T494" s="3"/>
      <c r="U494" s="3"/>
    </row>
    <row r="495" ht="33.0" customHeight="1">
      <c r="A495" s="3"/>
      <c r="B495" s="3"/>
      <c r="C495" s="3"/>
      <c r="D495" s="3"/>
      <c r="E495" s="3"/>
      <c r="F495" s="3"/>
      <c r="G495" s="3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4"/>
      <c r="S495" s="5"/>
      <c r="T495" s="3"/>
      <c r="U495" s="3"/>
    </row>
    <row r="496" ht="33.0" customHeight="1">
      <c r="A496" s="3"/>
      <c r="B496" s="3"/>
      <c r="C496" s="3"/>
      <c r="D496" s="3"/>
      <c r="E496" s="3"/>
      <c r="F496" s="3"/>
      <c r="G496" s="3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4"/>
      <c r="S496" s="5"/>
      <c r="T496" s="3"/>
      <c r="U496" s="3"/>
    </row>
    <row r="497" ht="33.0" customHeight="1">
      <c r="A497" s="3"/>
      <c r="B497" s="3"/>
      <c r="C497" s="3"/>
      <c r="D497" s="3"/>
      <c r="E497" s="3"/>
      <c r="F497" s="3"/>
      <c r="G497" s="3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4"/>
      <c r="S497" s="5"/>
      <c r="T497" s="3"/>
      <c r="U497" s="3"/>
    </row>
    <row r="498" ht="33.0" customHeight="1">
      <c r="A498" s="3"/>
      <c r="B498" s="3"/>
      <c r="C498" s="3"/>
      <c r="D498" s="3"/>
      <c r="E498" s="3"/>
      <c r="F498" s="3"/>
      <c r="G498" s="3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4"/>
      <c r="S498" s="5"/>
      <c r="T498" s="3"/>
      <c r="U498" s="3"/>
    </row>
    <row r="499" ht="33.0" customHeight="1">
      <c r="A499" s="3"/>
      <c r="B499" s="3"/>
      <c r="C499" s="3"/>
      <c r="D499" s="3"/>
      <c r="E499" s="3"/>
      <c r="F499" s="3"/>
      <c r="G499" s="3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4"/>
      <c r="S499" s="5"/>
      <c r="T499" s="3"/>
      <c r="U499" s="3"/>
    </row>
    <row r="500" ht="33.0" customHeight="1">
      <c r="A500" s="3"/>
      <c r="B500" s="3"/>
      <c r="C500" s="3"/>
      <c r="D500" s="3"/>
      <c r="E500" s="3"/>
      <c r="F500" s="3"/>
      <c r="G500" s="3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4"/>
      <c r="S500" s="5"/>
      <c r="T500" s="3"/>
      <c r="U500" s="3"/>
    </row>
    <row r="501" ht="33.0" customHeight="1">
      <c r="A501" s="3"/>
      <c r="B501" s="3"/>
      <c r="C501" s="3"/>
      <c r="D501" s="3"/>
      <c r="E501" s="3"/>
      <c r="F501" s="3"/>
      <c r="G501" s="3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4"/>
      <c r="S501" s="5"/>
      <c r="T501" s="3"/>
      <c r="U501" s="3"/>
    </row>
    <row r="502" ht="33.0" customHeight="1">
      <c r="A502" s="3"/>
      <c r="B502" s="3"/>
      <c r="C502" s="3"/>
      <c r="D502" s="3"/>
      <c r="E502" s="3"/>
      <c r="F502" s="3"/>
      <c r="G502" s="3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4"/>
      <c r="S502" s="5"/>
      <c r="T502" s="3"/>
      <c r="U502" s="3"/>
    </row>
    <row r="503" ht="33.0" customHeight="1">
      <c r="A503" s="3"/>
      <c r="B503" s="3"/>
      <c r="C503" s="3"/>
      <c r="D503" s="3"/>
      <c r="E503" s="3"/>
      <c r="F503" s="3"/>
      <c r="G503" s="3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4"/>
      <c r="S503" s="5"/>
      <c r="T503" s="3"/>
      <c r="U503" s="3"/>
    </row>
    <row r="504" ht="33.0" customHeight="1">
      <c r="A504" s="3"/>
      <c r="B504" s="3"/>
      <c r="C504" s="3"/>
      <c r="D504" s="3"/>
      <c r="E504" s="3"/>
      <c r="F504" s="3"/>
      <c r="G504" s="3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4"/>
      <c r="S504" s="5"/>
      <c r="T504" s="3"/>
      <c r="U504" s="3"/>
    </row>
    <row r="505" ht="33.0" customHeight="1">
      <c r="A505" s="3"/>
      <c r="B505" s="3"/>
      <c r="C505" s="3"/>
      <c r="D505" s="3"/>
      <c r="E505" s="3"/>
      <c r="F505" s="3"/>
      <c r="G505" s="3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4"/>
      <c r="S505" s="5"/>
      <c r="T505" s="3"/>
      <c r="U505" s="3"/>
    </row>
    <row r="506" ht="33.0" customHeight="1">
      <c r="A506" s="3"/>
      <c r="B506" s="3"/>
      <c r="C506" s="3"/>
      <c r="D506" s="3"/>
      <c r="E506" s="3"/>
      <c r="F506" s="3"/>
      <c r="G506" s="3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4"/>
      <c r="S506" s="5"/>
      <c r="T506" s="3"/>
      <c r="U506" s="3"/>
    </row>
    <row r="507" ht="33.0" customHeight="1">
      <c r="A507" s="3"/>
      <c r="B507" s="3"/>
      <c r="C507" s="3"/>
      <c r="D507" s="3"/>
      <c r="E507" s="3"/>
      <c r="F507" s="3"/>
      <c r="G507" s="3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4"/>
      <c r="S507" s="5"/>
      <c r="T507" s="3"/>
      <c r="U507" s="3"/>
    </row>
    <row r="508" ht="33.0" customHeight="1">
      <c r="A508" s="3"/>
      <c r="B508" s="3"/>
      <c r="C508" s="3"/>
      <c r="D508" s="3"/>
      <c r="E508" s="3"/>
      <c r="F508" s="3"/>
      <c r="G508" s="3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4"/>
      <c r="S508" s="5"/>
      <c r="T508" s="3"/>
      <c r="U508" s="3"/>
    </row>
    <row r="509" ht="33.0" customHeight="1">
      <c r="A509" s="3"/>
      <c r="B509" s="3"/>
      <c r="C509" s="3"/>
      <c r="D509" s="3"/>
      <c r="E509" s="3"/>
      <c r="F509" s="3"/>
      <c r="G509" s="3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4"/>
      <c r="S509" s="5"/>
      <c r="T509" s="3"/>
      <c r="U509" s="3"/>
    </row>
    <row r="510" ht="33.0" customHeight="1">
      <c r="A510" s="3"/>
      <c r="B510" s="3"/>
      <c r="C510" s="3"/>
      <c r="D510" s="3"/>
      <c r="E510" s="3"/>
      <c r="F510" s="3"/>
      <c r="G510" s="3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4"/>
      <c r="S510" s="5"/>
      <c r="T510" s="3"/>
      <c r="U510" s="3"/>
    </row>
    <row r="511" ht="33.0" customHeight="1">
      <c r="A511" s="3"/>
      <c r="B511" s="3"/>
      <c r="C511" s="3"/>
      <c r="D511" s="3"/>
      <c r="E511" s="3"/>
      <c r="F511" s="3"/>
      <c r="G511" s="3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4"/>
      <c r="S511" s="5"/>
      <c r="T511" s="3"/>
      <c r="U511" s="3"/>
    </row>
    <row r="512" ht="33.0" customHeight="1">
      <c r="A512" s="3"/>
      <c r="B512" s="3"/>
      <c r="C512" s="3"/>
      <c r="D512" s="3"/>
      <c r="E512" s="3"/>
      <c r="F512" s="3"/>
      <c r="G512" s="3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4"/>
      <c r="S512" s="5"/>
      <c r="T512" s="3"/>
      <c r="U512" s="3"/>
    </row>
    <row r="513" ht="33.0" customHeight="1">
      <c r="A513" s="3"/>
      <c r="B513" s="3"/>
      <c r="C513" s="3"/>
      <c r="D513" s="3"/>
      <c r="E513" s="3"/>
      <c r="F513" s="3"/>
      <c r="G513" s="3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4"/>
      <c r="S513" s="5"/>
      <c r="T513" s="3"/>
      <c r="U513" s="3"/>
    </row>
    <row r="514" ht="33.0" customHeight="1">
      <c r="A514" s="3"/>
      <c r="B514" s="3"/>
      <c r="C514" s="3"/>
      <c r="D514" s="3"/>
      <c r="E514" s="3"/>
      <c r="F514" s="3"/>
      <c r="G514" s="3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4"/>
      <c r="S514" s="5"/>
      <c r="T514" s="3"/>
      <c r="U514" s="3"/>
    </row>
    <row r="515" ht="33.0" customHeight="1">
      <c r="A515" s="3"/>
      <c r="B515" s="3"/>
      <c r="C515" s="3"/>
      <c r="D515" s="3"/>
      <c r="E515" s="3"/>
      <c r="F515" s="3"/>
      <c r="G515" s="3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4"/>
      <c r="S515" s="5"/>
      <c r="T515" s="3"/>
      <c r="U515" s="3"/>
    </row>
    <row r="516" ht="33.0" customHeight="1">
      <c r="A516" s="3"/>
      <c r="B516" s="3"/>
      <c r="C516" s="3"/>
      <c r="D516" s="3"/>
      <c r="E516" s="3"/>
      <c r="F516" s="3"/>
      <c r="G516" s="3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4"/>
      <c r="S516" s="5"/>
      <c r="T516" s="3"/>
      <c r="U516" s="3"/>
    </row>
    <row r="517" ht="33.0" customHeight="1">
      <c r="A517" s="3"/>
      <c r="B517" s="3"/>
      <c r="C517" s="3"/>
      <c r="D517" s="3"/>
      <c r="E517" s="3"/>
      <c r="F517" s="3"/>
      <c r="G517" s="3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4"/>
      <c r="S517" s="5"/>
      <c r="T517" s="3"/>
      <c r="U517" s="3"/>
    </row>
    <row r="518" ht="33.0" customHeight="1">
      <c r="A518" s="3"/>
      <c r="B518" s="3"/>
      <c r="C518" s="3"/>
      <c r="D518" s="3"/>
      <c r="E518" s="3"/>
      <c r="F518" s="3"/>
      <c r="G518" s="3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4"/>
      <c r="S518" s="5"/>
      <c r="T518" s="3"/>
      <c r="U518" s="3"/>
    </row>
    <row r="519" ht="33.0" customHeight="1">
      <c r="A519" s="3"/>
      <c r="B519" s="3"/>
      <c r="C519" s="3"/>
      <c r="D519" s="3"/>
      <c r="E519" s="3"/>
      <c r="F519" s="3"/>
      <c r="G519" s="3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4"/>
      <c r="S519" s="5"/>
      <c r="T519" s="3"/>
      <c r="U519" s="3"/>
    </row>
    <row r="520" ht="33.0" customHeight="1">
      <c r="A520" s="3"/>
      <c r="B520" s="3"/>
      <c r="C520" s="3"/>
      <c r="D520" s="3"/>
      <c r="E520" s="3"/>
      <c r="F520" s="3"/>
      <c r="G520" s="3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4"/>
      <c r="S520" s="5"/>
      <c r="T520" s="3"/>
      <c r="U520" s="3"/>
    </row>
    <row r="521" ht="33.0" customHeight="1">
      <c r="A521" s="3"/>
      <c r="B521" s="3"/>
      <c r="C521" s="3"/>
      <c r="D521" s="3"/>
      <c r="E521" s="3"/>
      <c r="F521" s="3"/>
      <c r="G521" s="3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4"/>
      <c r="S521" s="5"/>
      <c r="T521" s="3"/>
      <c r="U521" s="3"/>
    </row>
    <row r="522" ht="33.0" customHeight="1">
      <c r="A522" s="3"/>
      <c r="B522" s="3"/>
      <c r="C522" s="3"/>
      <c r="D522" s="3"/>
      <c r="E522" s="3"/>
      <c r="F522" s="3"/>
      <c r="G522" s="3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4"/>
      <c r="S522" s="5"/>
      <c r="T522" s="3"/>
      <c r="U522" s="3"/>
    </row>
    <row r="523" ht="33.0" customHeight="1">
      <c r="A523" s="3"/>
      <c r="B523" s="3"/>
      <c r="C523" s="3"/>
      <c r="D523" s="3"/>
      <c r="E523" s="3"/>
      <c r="F523" s="3"/>
      <c r="G523" s="3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4"/>
      <c r="S523" s="5"/>
      <c r="T523" s="3"/>
      <c r="U523" s="3"/>
    </row>
    <row r="524" ht="33.0" customHeight="1">
      <c r="A524" s="3"/>
      <c r="B524" s="3"/>
      <c r="C524" s="3"/>
      <c r="D524" s="3"/>
      <c r="E524" s="3"/>
      <c r="F524" s="3"/>
      <c r="G524" s="3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4"/>
      <c r="S524" s="5"/>
      <c r="T524" s="3"/>
      <c r="U524" s="3"/>
    </row>
    <row r="525" ht="33.0" customHeight="1">
      <c r="A525" s="3"/>
      <c r="B525" s="3"/>
      <c r="C525" s="3"/>
      <c r="D525" s="3"/>
      <c r="E525" s="3"/>
      <c r="F525" s="3"/>
      <c r="G525" s="3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4"/>
      <c r="S525" s="5"/>
      <c r="T525" s="3"/>
      <c r="U525" s="3"/>
    </row>
    <row r="526" ht="33.0" customHeight="1">
      <c r="A526" s="3"/>
      <c r="B526" s="3"/>
      <c r="C526" s="3"/>
      <c r="D526" s="3"/>
      <c r="E526" s="3"/>
      <c r="F526" s="3"/>
      <c r="G526" s="3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4"/>
      <c r="S526" s="5"/>
      <c r="T526" s="3"/>
      <c r="U526" s="3"/>
    </row>
    <row r="527" ht="33.0" customHeight="1">
      <c r="A527" s="3"/>
      <c r="B527" s="3"/>
      <c r="C527" s="3"/>
      <c r="D527" s="3"/>
      <c r="E527" s="3"/>
      <c r="F527" s="3"/>
      <c r="G527" s="3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4"/>
      <c r="S527" s="5"/>
      <c r="T527" s="3"/>
      <c r="U527" s="3"/>
    </row>
    <row r="528" ht="33.0" customHeight="1">
      <c r="A528" s="3"/>
      <c r="B528" s="3"/>
      <c r="C528" s="3"/>
      <c r="D528" s="3"/>
      <c r="E528" s="3"/>
      <c r="F528" s="3"/>
      <c r="G528" s="3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4"/>
      <c r="S528" s="5"/>
      <c r="T528" s="3"/>
      <c r="U528" s="3"/>
    </row>
    <row r="529" ht="33.0" customHeight="1">
      <c r="A529" s="3"/>
      <c r="B529" s="3"/>
      <c r="C529" s="3"/>
      <c r="D529" s="3"/>
      <c r="E529" s="3"/>
      <c r="F529" s="3"/>
      <c r="G529" s="3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4"/>
      <c r="S529" s="5"/>
      <c r="T529" s="3"/>
      <c r="U529" s="3"/>
    </row>
    <row r="530" ht="33.0" customHeight="1">
      <c r="A530" s="3"/>
      <c r="B530" s="3"/>
      <c r="C530" s="3"/>
      <c r="D530" s="3"/>
      <c r="E530" s="3"/>
      <c r="F530" s="3"/>
      <c r="G530" s="3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4"/>
      <c r="S530" s="5"/>
      <c r="T530" s="3"/>
      <c r="U530" s="3"/>
    </row>
    <row r="531" ht="33.0" customHeight="1">
      <c r="A531" s="3"/>
      <c r="B531" s="3"/>
      <c r="C531" s="3"/>
      <c r="D531" s="3"/>
      <c r="E531" s="3"/>
      <c r="F531" s="3"/>
      <c r="G531" s="3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4"/>
      <c r="S531" s="5"/>
      <c r="T531" s="3"/>
      <c r="U531" s="3"/>
    </row>
    <row r="532" ht="33.0" customHeight="1">
      <c r="A532" s="3"/>
      <c r="B532" s="3"/>
      <c r="C532" s="3"/>
      <c r="D532" s="3"/>
      <c r="E532" s="3"/>
      <c r="F532" s="3"/>
      <c r="G532" s="3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4"/>
      <c r="S532" s="5"/>
      <c r="T532" s="3"/>
      <c r="U532" s="3"/>
    </row>
    <row r="533" ht="33.0" customHeight="1">
      <c r="A533" s="3"/>
      <c r="B533" s="3"/>
      <c r="C533" s="3"/>
      <c r="D533" s="3"/>
      <c r="E533" s="3"/>
      <c r="F533" s="3"/>
      <c r="G533" s="3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4"/>
      <c r="S533" s="5"/>
      <c r="T533" s="3"/>
      <c r="U533" s="3"/>
    </row>
    <row r="534" ht="33.0" customHeight="1">
      <c r="A534" s="3"/>
      <c r="B534" s="3"/>
      <c r="C534" s="3"/>
      <c r="D534" s="3"/>
      <c r="E534" s="3"/>
      <c r="F534" s="3"/>
      <c r="G534" s="3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4"/>
      <c r="S534" s="5"/>
      <c r="T534" s="3"/>
      <c r="U534" s="3"/>
    </row>
    <row r="535" ht="33.0" customHeight="1">
      <c r="A535" s="3"/>
      <c r="B535" s="3"/>
      <c r="C535" s="3"/>
      <c r="D535" s="3"/>
      <c r="E535" s="3"/>
      <c r="F535" s="3"/>
      <c r="G535" s="3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4"/>
      <c r="S535" s="5"/>
      <c r="T535" s="3"/>
      <c r="U535" s="3"/>
    </row>
    <row r="536" ht="33.0" customHeight="1">
      <c r="A536" s="3"/>
      <c r="B536" s="3"/>
      <c r="C536" s="3"/>
      <c r="D536" s="3"/>
      <c r="E536" s="3"/>
      <c r="F536" s="3"/>
      <c r="G536" s="3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4"/>
      <c r="S536" s="5"/>
      <c r="T536" s="3"/>
      <c r="U536" s="3"/>
    </row>
    <row r="537" ht="33.0" customHeight="1">
      <c r="A537" s="3"/>
      <c r="B537" s="3"/>
      <c r="C537" s="3"/>
      <c r="D537" s="3"/>
      <c r="E537" s="3"/>
      <c r="F537" s="3"/>
      <c r="G537" s="3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4"/>
      <c r="S537" s="5"/>
      <c r="T537" s="3"/>
      <c r="U537" s="3"/>
    </row>
    <row r="538" ht="33.0" customHeight="1">
      <c r="A538" s="3"/>
      <c r="B538" s="3"/>
      <c r="C538" s="3"/>
      <c r="D538" s="3"/>
      <c r="E538" s="3"/>
      <c r="F538" s="3"/>
      <c r="G538" s="3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4"/>
      <c r="S538" s="5"/>
      <c r="T538" s="3"/>
      <c r="U538" s="3"/>
    </row>
    <row r="539" ht="33.0" customHeight="1">
      <c r="A539" s="3"/>
      <c r="B539" s="3"/>
      <c r="C539" s="3"/>
      <c r="D539" s="3"/>
      <c r="E539" s="3"/>
      <c r="F539" s="3"/>
      <c r="G539" s="3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4"/>
      <c r="S539" s="5"/>
      <c r="T539" s="3"/>
      <c r="U539" s="3"/>
    </row>
    <row r="540" ht="33.0" customHeight="1">
      <c r="A540" s="3"/>
      <c r="B540" s="3"/>
      <c r="C540" s="3"/>
      <c r="D540" s="3"/>
      <c r="E540" s="3"/>
      <c r="F540" s="3"/>
      <c r="G540" s="3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4"/>
      <c r="S540" s="5"/>
      <c r="T540" s="3"/>
      <c r="U540" s="3"/>
    </row>
    <row r="541" ht="33.0" customHeight="1">
      <c r="A541" s="3"/>
      <c r="B541" s="3"/>
      <c r="C541" s="3"/>
      <c r="D541" s="3"/>
      <c r="E541" s="3"/>
      <c r="F541" s="3"/>
      <c r="G541" s="3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4"/>
      <c r="S541" s="5"/>
      <c r="T541" s="3"/>
      <c r="U541" s="3"/>
    </row>
    <row r="542" ht="33.0" customHeight="1">
      <c r="A542" s="3"/>
      <c r="B542" s="3"/>
      <c r="C542" s="3"/>
      <c r="D542" s="3"/>
      <c r="E542" s="3"/>
      <c r="F542" s="3"/>
      <c r="G542" s="3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4"/>
      <c r="S542" s="5"/>
      <c r="T542" s="3"/>
      <c r="U542" s="3"/>
    </row>
    <row r="543" ht="33.0" customHeight="1">
      <c r="A543" s="3"/>
      <c r="B543" s="3"/>
      <c r="C543" s="3"/>
      <c r="D543" s="3"/>
      <c r="E543" s="3"/>
      <c r="F543" s="3"/>
      <c r="G543" s="3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4"/>
      <c r="S543" s="5"/>
      <c r="T543" s="3"/>
      <c r="U543" s="3"/>
    </row>
    <row r="544" ht="33.0" customHeight="1">
      <c r="A544" s="3"/>
      <c r="B544" s="3"/>
      <c r="C544" s="3"/>
      <c r="D544" s="3"/>
      <c r="E544" s="3"/>
      <c r="F544" s="3"/>
      <c r="G544" s="3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4"/>
      <c r="S544" s="5"/>
      <c r="T544" s="3"/>
      <c r="U544" s="3"/>
    </row>
    <row r="545" ht="33.0" customHeight="1">
      <c r="A545" s="3"/>
      <c r="B545" s="3"/>
      <c r="C545" s="3"/>
      <c r="D545" s="3"/>
      <c r="E545" s="3"/>
      <c r="F545" s="3"/>
      <c r="G545" s="3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4"/>
      <c r="S545" s="5"/>
      <c r="T545" s="3"/>
      <c r="U545" s="3"/>
    </row>
    <row r="546" ht="33.0" customHeight="1">
      <c r="A546" s="3"/>
      <c r="B546" s="3"/>
      <c r="C546" s="3"/>
      <c r="D546" s="3"/>
      <c r="E546" s="3"/>
      <c r="F546" s="3"/>
      <c r="G546" s="3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4"/>
      <c r="S546" s="5"/>
      <c r="T546" s="3"/>
      <c r="U546" s="3"/>
    </row>
    <row r="547" ht="33.0" customHeight="1">
      <c r="A547" s="3"/>
      <c r="B547" s="3"/>
      <c r="C547" s="3"/>
      <c r="D547" s="3"/>
      <c r="E547" s="3"/>
      <c r="F547" s="3"/>
      <c r="G547" s="3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4"/>
      <c r="S547" s="5"/>
      <c r="T547" s="3"/>
      <c r="U547" s="3"/>
    </row>
    <row r="548" ht="33.0" customHeight="1">
      <c r="A548" s="3"/>
      <c r="B548" s="3"/>
      <c r="C548" s="3"/>
      <c r="D548" s="3"/>
      <c r="E548" s="3"/>
      <c r="F548" s="3"/>
      <c r="G548" s="3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4"/>
      <c r="S548" s="5"/>
      <c r="T548" s="3"/>
      <c r="U548" s="3"/>
    </row>
    <row r="549" ht="33.0" customHeight="1">
      <c r="A549" s="3"/>
      <c r="B549" s="3"/>
      <c r="C549" s="3"/>
      <c r="D549" s="3"/>
      <c r="E549" s="3"/>
      <c r="F549" s="3"/>
      <c r="G549" s="3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4"/>
      <c r="S549" s="5"/>
      <c r="T549" s="3"/>
      <c r="U549" s="3"/>
    </row>
    <row r="550" ht="33.0" customHeight="1">
      <c r="A550" s="3"/>
      <c r="B550" s="3"/>
      <c r="C550" s="3"/>
      <c r="D550" s="3"/>
      <c r="E550" s="3"/>
      <c r="F550" s="3"/>
      <c r="G550" s="3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4"/>
      <c r="S550" s="5"/>
      <c r="T550" s="3"/>
      <c r="U550" s="3"/>
    </row>
    <row r="551" ht="33.0" customHeight="1">
      <c r="A551" s="3"/>
      <c r="B551" s="3"/>
      <c r="C551" s="3"/>
      <c r="D551" s="3"/>
      <c r="E551" s="3"/>
      <c r="F551" s="3"/>
      <c r="G551" s="3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4"/>
      <c r="S551" s="5"/>
      <c r="T551" s="3"/>
      <c r="U551" s="3"/>
    </row>
    <row r="552" ht="33.0" customHeight="1">
      <c r="A552" s="3"/>
      <c r="B552" s="3"/>
      <c r="C552" s="3"/>
      <c r="D552" s="3"/>
      <c r="E552" s="3"/>
      <c r="F552" s="3"/>
      <c r="G552" s="3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4"/>
      <c r="S552" s="5"/>
      <c r="T552" s="3"/>
      <c r="U552" s="3"/>
    </row>
    <row r="553" ht="33.0" customHeight="1">
      <c r="A553" s="3"/>
      <c r="B553" s="3"/>
      <c r="C553" s="3"/>
      <c r="D553" s="3"/>
      <c r="E553" s="3"/>
      <c r="F553" s="3"/>
      <c r="G553" s="3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4"/>
      <c r="S553" s="5"/>
      <c r="T553" s="3"/>
      <c r="U553" s="3"/>
    </row>
    <row r="554" ht="33.0" customHeight="1">
      <c r="A554" s="3"/>
      <c r="B554" s="3"/>
      <c r="C554" s="3"/>
      <c r="D554" s="3"/>
      <c r="E554" s="3"/>
      <c r="F554" s="3"/>
      <c r="G554" s="3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4"/>
      <c r="S554" s="5"/>
      <c r="T554" s="3"/>
      <c r="U554" s="3"/>
    </row>
    <row r="555" ht="33.0" customHeight="1">
      <c r="A555" s="3"/>
      <c r="B555" s="3"/>
      <c r="C555" s="3"/>
      <c r="D555" s="3"/>
      <c r="E555" s="3"/>
      <c r="F555" s="3"/>
      <c r="G555" s="3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4"/>
      <c r="S555" s="5"/>
      <c r="T555" s="3"/>
      <c r="U555" s="3"/>
    </row>
    <row r="556" ht="33.0" customHeight="1">
      <c r="A556" s="3"/>
      <c r="B556" s="3"/>
      <c r="C556" s="3"/>
      <c r="D556" s="3"/>
      <c r="E556" s="3"/>
      <c r="F556" s="3"/>
      <c r="G556" s="3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4"/>
      <c r="S556" s="5"/>
      <c r="T556" s="3"/>
      <c r="U556" s="3"/>
    </row>
    <row r="557" ht="33.0" customHeight="1">
      <c r="A557" s="3"/>
      <c r="B557" s="3"/>
      <c r="C557" s="3"/>
      <c r="D557" s="3"/>
      <c r="E557" s="3"/>
      <c r="F557" s="3"/>
      <c r="G557" s="3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4"/>
      <c r="S557" s="5"/>
      <c r="T557" s="3"/>
      <c r="U557" s="3"/>
    </row>
    <row r="558" ht="33.0" customHeight="1">
      <c r="A558" s="3"/>
      <c r="B558" s="3"/>
      <c r="C558" s="3"/>
      <c r="D558" s="3"/>
      <c r="E558" s="3"/>
      <c r="F558" s="3"/>
      <c r="G558" s="3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4"/>
      <c r="S558" s="5"/>
      <c r="T558" s="3"/>
      <c r="U558" s="3"/>
    </row>
    <row r="559" ht="33.0" customHeight="1">
      <c r="A559" s="3"/>
      <c r="B559" s="3"/>
      <c r="C559" s="3"/>
      <c r="D559" s="3"/>
      <c r="E559" s="3"/>
      <c r="F559" s="3"/>
      <c r="G559" s="3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4"/>
      <c r="S559" s="5"/>
      <c r="T559" s="3"/>
      <c r="U559" s="3"/>
    </row>
    <row r="560" ht="33.0" customHeight="1">
      <c r="A560" s="3"/>
      <c r="B560" s="3"/>
      <c r="C560" s="3"/>
      <c r="D560" s="3"/>
      <c r="E560" s="3"/>
      <c r="F560" s="3"/>
      <c r="G560" s="3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4"/>
      <c r="S560" s="5"/>
      <c r="T560" s="3"/>
      <c r="U560" s="3"/>
    </row>
    <row r="561" ht="33.0" customHeight="1">
      <c r="A561" s="3"/>
      <c r="B561" s="3"/>
      <c r="C561" s="3"/>
      <c r="D561" s="3"/>
      <c r="E561" s="3"/>
      <c r="F561" s="3"/>
      <c r="G561" s="3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4"/>
      <c r="S561" s="5"/>
      <c r="T561" s="3"/>
      <c r="U561" s="3"/>
    </row>
    <row r="562" ht="33.0" customHeight="1">
      <c r="A562" s="3"/>
      <c r="B562" s="3"/>
      <c r="C562" s="3"/>
      <c r="D562" s="3"/>
      <c r="E562" s="3"/>
      <c r="F562" s="3"/>
      <c r="G562" s="3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4"/>
      <c r="S562" s="5"/>
      <c r="T562" s="3"/>
      <c r="U562" s="3"/>
    </row>
    <row r="563" ht="33.0" customHeight="1">
      <c r="A563" s="3"/>
      <c r="B563" s="3"/>
      <c r="C563" s="3"/>
      <c r="D563" s="3"/>
      <c r="E563" s="3"/>
      <c r="F563" s="3"/>
      <c r="G563" s="3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4"/>
      <c r="S563" s="5"/>
      <c r="T563" s="3"/>
      <c r="U563" s="3"/>
    </row>
    <row r="564" ht="33.0" customHeight="1">
      <c r="A564" s="3"/>
      <c r="B564" s="3"/>
      <c r="C564" s="3"/>
      <c r="D564" s="3"/>
      <c r="E564" s="3"/>
      <c r="F564" s="3"/>
      <c r="G564" s="3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4"/>
      <c r="S564" s="5"/>
      <c r="T564" s="3"/>
      <c r="U564" s="3"/>
    </row>
    <row r="565" ht="33.0" customHeight="1">
      <c r="A565" s="3"/>
      <c r="B565" s="3"/>
      <c r="C565" s="3"/>
      <c r="D565" s="3"/>
      <c r="E565" s="3"/>
      <c r="F565" s="3"/>
      <c r="G565" s="3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4"/>
      <c r="S565" s="5"/>
      <c r="T565" s="3"/>
      <c r="U565" s="3"/>
    </row>
    <row r="566" ht="33.0" customHeight="1">
      <c r="A566" s="3"/>
      <c r="B566" s="3"/>
      <c r="C566" s="3"/>
      <c r="D566" s="3"/>
      <c r="E566" s="3"/>
      <c r="F566" s="3"/>
      <c r="G566" s="3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4"/>
      <c r="S566" s="5"/>
      <c r="T566" s="3"/>
      <c r="U566" s="3"/>
    </row>
    <row r="567" ht="33.0" customHeight="1">
      <c r="A567" s="3"/>
      <c r="B567" s="3"/>
      <c r="C567" s="3"/>
      <c r="D567" s="3"/>
      <c r="E567" s="3"/>
      <c r="F567" s="3"/>
      <c r="G567" s="3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4"/>
      <c r="S567" s="5"/>
      <c r="T567" s="3"/>
      <c r="U567" s="3"/>
    </row>
    <row r="568" ht="33.0" customHeight="1">
      <c r="A568" s="3"/>
      <c r="B568" s="3"/>
      <c r="C568" s="3"/>
      <c r="D568" s="3"/>
      <c r="E568" s="3"/>
      <c r="F568" s="3"/>
      <c r="G568" s="3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4"/>
      <c r="S568" s="5"/>
      <c r="T568" s="3"/>
      <c r="U568" s="3"/>
    </row>
    <row r="569" ht="33.0" customHeight="1">
      <c r="A569" s="3"/>
      <c r="B569" s="3"/>
      <c r="C569" s="3"/>
      <c r="D569" s="3"/>
      <c r="E569" s="3"/>
      <c r="F569" s="3"/>
      <c r="G569" s="3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4"/>
      <c r="S569" s="5"/>
      <c r="T569" s="3"/>
      <c r="U569" s="3"/>
    </row>
    <row r="570" ht="33.0" customHeight="1">
      <c r="A570" s="3"/>
      <c r="B570" s="3"/>
      <c r="C570" s="3"/>
      <c r="D570" s="3"/>
      <c r="E570" s="3"/>
      <c r="F570" s="3"/>
      <c r="G570" s="3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4"/>
      <c r="S570" s="5"/>
      <c r="T570" s="3"/>
      <c r="U570" s="3"/>
    </row>
    <row r="571" ht="33.0" customHeight="1">
      <c r="A571" s="3"/>
      <c r="B571" s="3"/>
      <c r="C571" s="3"/>
      <c r="D571" s="3"/>
      <c r="E571" s="3"/>
      <c r="F571" s="3"/>
      <c r="G571" s="3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4"/>
      <c r="S571" s="5"/>
      <c r="T571" s="3"/>
      <c r="U571" s="3"/>
    </row>
    <row r="572" ht="33.0" customHeight="1">
      <c r="A572" s="3"/>
      <c r="B572" s="3"/>
      <c r="C572" s="3"/>
      <c r="D572" s="3"/>
      <c r="E572" s="3"/>
      <c r="F572" s="3"/>
      <c r="G572" s="3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4"/>
      <c r="S572" s="5"/>
      <c r="T572" s="3"/>
      <c r="U572" s="3"/>
    </row>
    <row r="573" ht="33.0" customHeight="1">
      <c r="A573" s="3"/>
      <c r="B573" s="3"/>
      <c r="C573" s="3"/>
      <c r="D573" s="3"/>
      <c r="E573" s="3"/>
      <c r="F573" s="3"/>
      <c r="G573" s="3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4"/>
      <c r="S573" s="5"/>
      <c r="T573" s="3"/>
      <c r="U573" s="3"/>
    </row>
    <row r="574" ht="33.0" customHeight="1">
      <c r="A574" s="3"/>
      <c r="B574" s="3"/>
      <c r="C574" s="3"/>
      <c r="D574" s="3"/>
      <c r="E574" s="3"/>
      <c r="F574" s="3"/>
      <c r="G574" s="3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4"/>
      <c r="S574" s="5"/>
      <c r="T574" s="3"/>
      <c r="U574" s="3"/>
    </row>
    <row r="575" ht="33.0" customHeight="1">
      <c r="A575" s="3"/>
      <c r="B575" s="3"/>
      <c r="C575" s="3"/>
      <c r="D575" s="3"/>
      <c r="E575" s="3"/>
      <c r="F575" s="3"/>
      <c r="G575" s="3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4"/>
      <c r="S575" s="5"/>
      <c r="T575" s="3"/>
      <c r="U575" s="3"/>
    </row>
    <row r="576" ht="33.0" customHeight="1">
      <c r="A576" s="3"/>
      <c r="B576" s="3"/>
      <c r="C576" s="3"/>
      <c r="D576" s="3"/>
      <c r="E576" s="3"/>
      <c r="F576" s="3"/>
      <c r="G576" s="3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4"/>
      <c r="S576" s="5"/>
      <c r="T576" s="3"/>
      <c r="U576" s="3"/>
    </row>
    <row r="577" ht="33.0" customHeight="1">
      <c r="A577" s="3"/>
      <c r="B577" s="3"/>
      <c r="C577" s="3"/>
      <c r="D577" s="3"/>
      <c r="E577" s="3"/>
      <c r="F577" s="3"/>
      <c r="G577" s="3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4"/>
      <c r="S577" s="5"/>
      <c r="T577" s="3"/>
      <c r="U577" s="3"/>
    </row>
    <row r="578" ht="33.0" customHeight="1">
      <c r="A578" s="3"/>
      <c r="B578" s="3"/>
      <c r="C578" s="3"/>
      <c r="D578" s="3"/>
      <c r="E578" s="3"/>
      <c r="F578" s="3"/>
      <c r="G578" s="3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4"/>
      <c r="S578" s="5"/>
      <c r="T578" s="3"/>
      <c r="U578" s="3"/>
    </row>
    <row r="579" ht="33.0" customHeight="1">
      <c r="A579" s="3"/>
      <c r="B579" s="3"/>
      <c r="C579" s="3"/>
      <c r="D579" s="3"/>
      <c r="E579" s="3"/>
      <c r="F579" s="3"/>
      <c r="G579" s="3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4"/>
      <c r="S579" s="5"/>
      <c r="T579" s="3"/>
      <c r="U579" s="3"/>
    </row>
    <row r="580" ht="33.0" customHeight="1">
      <c r="A580" s="3"/>
      <c r="B580" s="3"/>
      <c r="C580" s="3"/>
      <c r="D580" s="3"/>
      <c r="E580" s="3"/>
      <c r="F580" s="3"/>
      <c r="G580" s="3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4"/>
      <c r="S580" s="5"/>
      <c r="T580" s="3"/>
      <c r="U580" s="3"/>
    </row>
    <row r="581" ht="33.0" customHeight="1">
      <c r="A581" s="3"/>
      <c r="B581" s="3"/>
      <c r="C581" s="3"/>
      <c r="D581" s="3"/>
      <c r="E581" s="3"/>
      <c r="F581" s="3"/>
      <c r="G581" s="3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4"/>
      <c r="S581" s="5"/>
      <c r="T581" s="3"/>
      <c r="U581" s="3"/>
    </row>
    <row r="582" ht="33.0" customHeight="1">
      <c r="A582" s="3"/>
      <c r="B582" s="3"/>
      <c r="C582" s="3"/>
      <c r="D582" s="3"/>
      <c r="E582" s="3"/>
      <c r="F582" s="3"/>
      <c r="G582" s="3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4"/>
      <c r="S582" s="5"/>
      <c r="T582" s="3"/>
      <c r="U582" s="3"/>
    </row>
    <row r="583" ht="33.0" customHeight="1">
      <c r="A583" s="3"/>
      <c r="B583" s="3"/>
      <c r="C583" s="3"/>
      <c r="D583" s="3"/>
      <c r="E583" s="3"/>
      <c r="F583" s="3"/>
      <c r="G583" s="3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4"/>
      <c r="S583" s="5"/>
      <c r="T583" s="3"/>
      <c r="U583" s="3"/>
    </row>
    <row r="584" ht="33.0" customHeight="1">
      <c r="A584" s="3"/>
      <c r="B584" s="3"/>
      <c r="C584" s="3"/>
      <c r="D584" s="3"/>
      <c r="E584" s="3"/>
      <c r="F584" s="3"/>
      <c r="G584" s="3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4"/>
      <c r="S584" s="5"/>
      <c r="T584" s="3"/>
      <c r="U584" s="3"/>
    </row>
    <row r="585" ht="33.0" customHeight="1">
      <c r="A585" s="3"/>
      <c r="B585" s="3"/>
      <c r="C585" s="3"/>
      <c r="D585" s="3"/>
      <c r="E585" s="3"/>
      <c r="F585" s="3"/>
      <c r="G585" s="3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4"/>
      <c r="S585" s="5"/>
      <c r="T585" s="3"/>
      <c r="U585" s="3"/>
    </row>
    <row r="586" ht="33.0" customHeight="1">
      <c r="A586" s="3"/>
      <c r="B586" s="3"/>
      <c r="C586" s="3"/>
      <c r="D586" s="3"/>
      <c r="E586" s="3"/>
      <c r="F586" s="3"/>
      <c r="G586" s="3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4"/>
      <c r="S586" s="5"/>
      <c r="T586" s="3"/>
      <c r="U586" s="3"/>
    </row>
    <row r="587" ht="33.0" customHeight="1">
      <c r="A587" s="3"/>
      <c r="B587" s="3"/>
      <c r="C587" s="3"/>
      <c r="D587" s="3"/>
      <c r="E587" s="3"/>
      <c r="F587" s="3"/>
      <c r="G587" s="3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4"/>
      <c r="S587" s="5"/>
      <c r="T587" s="3"/>
      <c r="U587" s="3"/>
    </row>
    <row r="588" ht="33.0" customHeight="1">
      <c r="A588" s="3"/>
      <c r="B588" s="3"/>
      <c r="C588" s="3"/>
      <c r="D588" s="3"/>
      <c r="E588" s="3"/>
      <c r="F588" s="3"/>
      <c r="G588" s="3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4"/>
      <c r="S588" s="5"/>
      <c r="T588" s="3"/>
      <c r="U588" s="3"/>
    </row>
    <row r="589" ht="33.0" customHeight="1">
      <c r="A589" s="3"/>
      <c r="B589" s="3"/>
      <c r="C589" s="3"/>
      <c r="D589" s="3"/>
      <c r="E589" s="3"/>
      <c r="F589" s="3"/>
      <c r="G589" s="3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4"/>
      <c r="S589" s="5"/>
      <c r="T589" s="3"/>
      <c r="U589" s="3"/>
    </row>
    <row r="590" ht="33.0" customHeight="1">
      <c r="A590" s="3"/>
      <c r="B590" s="3"/>
      <c r="C590" s="3"/>
      <c r="D590" s="3"/>
      <c r="E590" s="3"/>
      <c r="F590" s="3"/>
      <c r="G590" s="3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4"/>
      <c r="S590" s="5"/>
      <c r="T590" s="3"/>
      <c r="U590" s="3"/>
    </row>
    <row r="591" ht="33.0" customHeight="1">
      <c r="A591" s="3"/>
      <c r="B591" s="3"/>
      <c r="C591" s="3"/>
      <c r="D591" s="3"/>
      <c r="E591" s="3"/>
      <c r="F591" s="3"/>
      <c r="G591" s="3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4"/>
      <c r="S591" s="5"/>
      <c r="T591" s="3"/>
      <c r="U591" s="3"/>
    </row>
    <row r="592" ht="33.0" customHeight="1">
      <c r="A592" s="3"/>
      <c r="B592" s="3"/>
      <c r="C592" s="3"/>
      <c r="D592" s="3"/>
      <c r="E592" s="3"/>
      <c r="F592" s="3"/>
      <c r="G592" s="3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4"/>
      <c r="S592" s="5"/>
      <c r="T592" s="3"/>
      <c r="U592" s="3"/>
    </row>
    <row r="593" ht="33.0" customHeight="1">
      <c r="A593" s="3"/>
      <c r="B593" s="3"/>
      <c r="C593" s="3"/>
      <c r="D593" s="3"/>
      <c r="E593" s="3"/>
      <c r="F593" s="3"/>
      <c r="G593" s="3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4"/>
      <c r="S593" s="5"/>
      <c r="T593" s="3"/>
      <c r="U593" s="3"/>
    </row>
    <row r="594" ht="33.0" customHeight="1">
      <c r="A594" s="3"/>
      <c r="B594" s="3"/>
      <c r="C594" s="3"/>
      <c r="D594" s="3"/>
      <c r="E594" s="3"/>
      <c r="F594" s="3"/>
      <c r="G594" s="3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4"/>
      <c r="S594" s="5"/>
      <c r="T594" s="3"/>
      <c r="U594" s="3"/>
    </row>
    <row r="595" ht="33.0" customHeight="1">
      <c r="A595" s="3"/>
      <c r="B595" s="3"/>
      <c r="C595" s="3"/>
      <c r="D595" s="3"/>
      <c r="E595" s="3"/>
      <c r="F595" s="3"/>
      <c r="G595" s="3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4"/>
      <c r="S595" s="5"/>
      <c r="T595" s="3"/>
      <c r="U595" s="3"/>
    </row>
    <row r="596" ht="33.0" customHeight="1">
      <c r="A596" s="3"/>
      <c r="B596" s="3"/>
      <c r="C596" s="3"/>
      <c r="D596" s="3"/>
      <c r="E596" s="3"/>
      <c r="F596" s="3"/>
      <c r="G596" s="3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4"/>
      <c r="S596" s="5"/>
      <c r="T596" s="3"/>
      <c r="U596" s="3"/>
    </row>
    <row r="597" ht="33.0" customHeight="1">
      <c r="A597" s="3"/>
      <c r="B597" s="3"/>
      <c r="C597" s="3"/>
      <c r="D597" s="3"/>
      <c r="E597" s="3"/>
      <c r="F597" s="3"/>
      <c r="G597" s="3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4"/>
      <c r="S597" s="5"/>
      <c r="T597" s="3"/>
      <c r="U597" s="3"/>
    </row>
    <row r="598" ht="33.0" customHeight="1">
      <c r="A598" s="3"/>
      <c r="B598" s="3"/>
      <c r="C598" s="3"/>
      <c r="D598" s="3"/>
      <c r="E598" s="3"/>
      <c r="F598" s="3"/>
      <c r="G598" s="3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4"/>
      <c r="S598" s="5"/>
      <c r="T598" s="3"/>
      <c r="U598" s="3"/>
    </row>
    <row r="599" ht="33.0" customHeight="1">
      <c r="A599" s="3"/>
      <c r="B599" s="3"/>
      <c r="C599" s="3"/>
      <c r="D599" s="3"/>
      <c r="E599" s="3"/>
      <c r="F599" s="3"/>
      <c r="G599" s="3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4"/>
      <c r="S599" s="5"/>
      <c r="T599" s="3"/>
      <c r="U599" s="3"/>
    </row>
    <row r="600" ht="33.0" customHeight="1">
      <c r="A600" s="3"/>
      <c r="B600" s="3"/>
      <c r="C600" s="3"/>
      <c r="D600" s="3"/>
      <c r="E600" s="3"/>
      <c r="F600" s="3"/>
      <c r="G600" s="3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4"/>
      <c r="S600" s="5"/>
      <c r="T600" s="3"/>
      <c r="U600" s="3"/>
    </row>
    <row r="601" ht="33.0" customHeight="1">
      <c r="A601" s="3"/>
      <c r="B601" s="3"/>
      <c r="C601" s="3"/>
      <c r="D601" s="3"/>
      <c r="E601" s="3"/>
      <c r="F601" s="3"/>
      <c r="G601" s="3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4"/>
      <c r="S601" s="5"/>
      <c r="T601" s="3"/>
      <c r="U601" s="3"/>
    </row>
    <row r="602" ht="33.0" customHeight="1">
      <c r="A602" s="3"/>
      <c r="B602" s="3"/>
      <c r="C602" s="3"/>
      <c r="D602" s="3"/>
      <c r="E602" s="3"/>
      <c r="F602" s="3"/>
      <c r="G602" s="3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4"/>
      <c r="S602" s="5"/>
      <c r="T602" s="3"/>
      <c r="U602" s="3"/>
    </row>
    <row r="603" ht="33.0" customHeight="1">
      <c r="A603" s="3"/>
      <c r="B603" s="3"/>
      <c r="C603" s="3"/>
      <c r="D603" s="3"/>
      <c r="E603" s="3"/>
      <c r="F603" s="3"/>
      <c r="G603" s="3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4"/>
      <c r="S603" s="5"/>
      <c r="T603" s="3"/>
      <c r="U603" s="3"/>
    </row>
    <row r="604" ht="33.0" customHeight="1">
      <c r="A604" s="3"/>
      <c r="B604" s="3"/>
      <c r="C604" s="3"/>
      <c r="D604" s="3"/>
      <c r="E604" s="3"/>
      <c r="F604" s="3"/>
      <c r="G604" s="3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4"/>
      <c r="S604" s="5"/>
      <c r="T604" s="3"/>
      <c r="U604" s="3"/>
    </row>
    <row r="605" ht="33.0" customHeight="1">
      <c r="A605" s="3"/>
      <c r="B605" s="3"/>
      <c r="C605" s="3"/>
      <c r="D605" s="3"/>
      <c r="E605" s="3"/>
      <c r="F605" s="3"/>
      <c r="G605" s="3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4"/>
      <c r="S605" s="5"/>
      <c r="T605" s="3"/>
      <c r="U605" s="3"/>
    </row>
    <row r="606" ht="33.0" customHeight="1">
      <c r="A606" s="3"/>
      <c r="B606" s="3"/>
      <c r="C606" s="3"/>
      <c r="D606" s="3"/>
      <c r="E606" s="3"/>
      <c r="F606" s="3"/>
      <c r="G606" s="3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4"/>
      <c r="S606" s="5"/>
      <c r="T606" s="3"/>
      <c r="U606" s="3"/>
    </row>
    <row r="607" ht="33.0" customHeight="1">
      <c r="A607" s="3"/>
      <c r="B607" s="3"/>
      <c r="C607" s="3"/>
      <c r="D607" s="3"/>
      <c r="E607" s="3"/>
      <c r="F607" s="3"/>
      <c r="G607" s="3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4"/>
      <c r="S607" s="5"/>
      <c r="T607" s="3"/>
      <c r="U607" s="3"/>
    </row>
    <row r="608" ht="33.0" customHeight="1">
      <c r="A608" s="3"/>
      <c r="B608" s="3"/>
      <c r="C608" s="3"/>
      <c r="D608" s="3"/>
      <c r="E608" s="3"/>
      <c r="F608" s="3"/>
      <c r="G608" s="3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4"/>
      <c r="S608" s="5"/>
      <c r="T608" s="3"/>
      <c r="U608" s="3"/>
    </row>
    <row r="609" ht="33.0" customHeight="1">
      <c r="A609" s="3"/>
      <c r="B609" s="3"/>
      <c r="C609" s="3"/>
      <c r="D609" s="3"/>
      <c r="E609" s="3"/>
      <c r="F609" s="3"/>
      <c r="G609" s="3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4"/>
      <c r="S609" s="5"/>
      <c r="T609" s="3"/>
      <c r="U609" s="3"/>
    </row>
    <row r="610" ht="33.0" customHeight="1">
      <c r="A610" s="3"/>
      <c r="B610" s="3"/>
      <c r="C610" s="3"/>
      <c r="D610" s="3"/>
      <c r="E610" s="3"/>
      <c r="F610" s="3"/>
      <c r="G610" s="3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4"/>
      <c r="S610" s="5"/>
      <c r="T610" s="3"/>
      <c r="U610" s="3"/>
    </row>
    <row r="611" ht="33.0" customHeight="1">
      <c r="A611" s="3"/>
      <c r="B611" s="3"/>
      <c r="C611" s="3"/>
      <c r="D611" s="3"/>
      <c r="E611" s="3"/>
      <c r="F611" s="3"/>
      <c r="G611" s="3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4"/>
      <c r="S611" s="5"/>
      <c r="T611" s="3"/>
      <c r="U611" s="3"/>
    </row>
    <row r="612" ht="33.0" customHeight="1">
      <c r="A612" s="3"/>
      <c r="B612" s="3"/>
      <c r="C612" s="3"/>
      <c r="D612" s="3"/>
      <c r="E612" s="3"/>
      <c r="F612" s="3"/>
      <c r="G612" s="3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4"/>
      <c r="S612" s="5"/>
      <c r="T612" s="3"/>
      <c r="U612" s="3"/>
    </row>
    <row r="613" ht="33.0" customHeight="1">
      <c r="A613" s="3"/>
      <c r="B613" s="3"/>
      <c r="C613" s="3"/>
      <c r="D613" s="3"/>
      <c r="E613" s="3"/>
      <c r="F613" s="3"/>
      <c r="G613" s="3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4"/>
      <c r="S613" s="5"/>
      <c r="T613" s="3"/>
      <c r="U613" s="3"/>
    </row>
    <row r="614" ht="33.0" customHeight="1">
      <c r="A614" s="3"/>
      <c r="B614" s="3"/>
      <c r="C614" s="3"/>
      <c r="D614" s="3"/>
      <c r="E614" s="3"/>
      <c r="F614" s="3"/>
      <c r="G614" s="3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4"/>
      <c r="S614" s="5"/>
      <c r="T614" s="3"/>
      <c r="U614" s="3"/>
    </row>
    <row r="615" ht="33.0" customHeight="1">
      <c r="A615" s="3"/>
      <c r="B615" s="3"/>
      <c r="C615" s="3"/>
      <c r="D615" s="3"/>
      <c r="E615" s="3"/>
      <c r="F615" s="3"/>
      <c r="G615" s="3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4"/>
      <c r="S615" s="5"/>
      <c r="T615" s="3"/>
      <c r="U615" s="3"/>
    </row>
    <row r="616" ht="33.0" customHeight="1">
      <c r="A616" s="3"/>
      <c r="B616" s="3"/>
      <c r="C616" s="3"/>
      <c r="D616" s="3"/>
      <c r="E616" s="3"/>
      <c r="F616" s="3"/>
      <c r="G616" s="3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4"/>
      <c r="S616" s="5"/>
      <c r="T616" s="3"/>
      <c r="U616" s="3"/>
    </row>
    <row r="617" ht="33.0" customHeight="1">
      <c r="A617" s="3"/>
      <c r="B617" s="3"/>
      <c r="C617" s="3"/>
      <c r="D617" s="3"/>
      <c r="E617" s="3"/>
      <c r="F617" s="3"/>
      <c r="G617" s="3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4"/>
      <c r="S617" s="5"/>
      <c r="T617" s="3"/>
      <c r="U617" s="3"/>
    </row>
    <row r="618" ht="33.0" customHeight="1">
      <c r="A618" s="3"/>
      <c r="B618" s="3"/>
      <c r="C618" s="3"/>
      <c r="D618" s="3"/>
      <c r="E618" s="3"/>
      <c r="F618" s="3"/>
      <c r="G618" s="3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4"/>
      <c r="S618" s="5"/>
      <c r="T618" s="3"/>
      <c r="U618" s="3"/>
    </row>
    <row r="619" ht="33.0" customHeight="1">
      <c r="A619" s="3"/>
      <c r="B619" s="3"/>
      <c r="C619" s="3"/>
      <c r="D619" s="3"/>
      <c r="E619" s="3"/>
      <c r="F619" s="3"/>
      <c r="G619" s="3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4"/>
      <c r="S619" s="5"/>
      <c r="T619" s="3"/>
      <c r="U619" s="3"/>
    </row>
    <row r="620" ht="33.0" customHeight="1">
      <c r="A620" s="3"/>
      <c r="B620" s="3"/>
      <c r="C620" s="3"/>
      <c r="D620" s="3"/>
      <c r="E620" s="3"/>
      <c r="F620" s="3"/>
      <c r="G620" s="3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4"/>
      <c r="S620" s="5"/>
      <c r="T620" s="3"/>
      <c r="U620" s="3"/>
    </row>
    <row r="621" ht="33.0" customHeight="1">
      <c r="A621" s="3"/>
      <c r="B621" s="3"/>
      <c r="C621" s="3"/>
      <c r="D621" s="3"/>
      <c r="E621" s="3"/>
      <c r="F621" s="3"/>
      <c r="G621" s="3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4"/>
      <c r="S621" s="5"/>
      <c r="T621" s="3"/>
      <c r="U621" s="3"/>
    </row>
    <row r="622" ht="33.0" customHeight="1">
      <c r="A622" s="3"/>
      <c r="B622" s="3"/>
      <c r="C622" s="3"/>
      <c r="D622" s="3"/>
      <c r="E622" s="3"/>
      <c r="F622" s="3"/>
      <c r="G622" s="3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4"/>
      <c r="S622" s="5"/>
      <c r="T622" s="3"/>
      <c r="U622" s="3"/>
    </row>
    <row r="623" ht="33.0" customHeight="1">
      <c r="A623" s="3"/>
      <c r="B623" s="3"/>
      <c r="C623" s="3"/>
      <c r="D623" s="3"/>
      <c r="E623" s="3"/>
      <c r="F623" s="3"/>
      <c r="G623" s="3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4"/>
      <c r="S623" s="5"/>
      <c r="T623" s="3"/>
      <c r="U623" s="3"/>
    </row>
    <row r="624" ht="33.0" customHeight="1">
      <c r="A624" s="3"/>
      <c r="B624" s="3"/>
      <c r="C624" s="3"/>
      <c r="D624" s="3"/>
      <c r="E624" s="3"/>
      <c r="F624" s="3"/>
      <c r="G624" s="3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4"/>
      <c r="S624" s="5"/>
      <c r="T624" s="3"/>
      <c r="U624" s="3"/>
    </row>
    <row r="625" ht="33.0" customHeight="1">
      <c r="A625" s="3"/>
      <c r="B625" s="3"/>
      <c r="C625" s="3"/>
      <c r="D625" s="3"/>
      <c r="E625" s="3"/>
      <c r="F625" s="3"/>
      <c r="G625" s="3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4"/>
      <c r="S625" s="5"/>
      <c r="T625" s="3"/>
      <c r="U625" s="3"/>
    </row>
    <row r="626" ht="33.0" customHeight="1">
      <c r="A626" s="3"/>
      <c r="B626" s="3"/>
      <c r="C626" s="3"/>
      <c r="D626" s="3"/>
      <c r="E626" s="3"/>
      <c r="F626" s="3"/>
      <c r="G626" s="3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4"/>
      <c r="S626" s="5"/>
      <c r="T626" s="3"/>
      <c r="U626" s="3"/>
    </row>
    <row r="627" ht="33.0" customHeight="1">
      <c r="A627" s="3"/>
      <c r="B627" s="3"/>
      <c r="C627" s="3"/>
      <c r="D627" s="3"/>
      <c r="E627" s="3"/>
      <c r="F627" s="3"/>
      <c r="G627" s="3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4"/>
      <c r="S627" s="5"/>
      <c r="T627" s="3"/>
      <c r="U627" s="3"/>
    </row>
    <row r="628" ht="33.0" customHeight="1">
      <c r="A628" s="3"/>
      <c r="B628" s="3"/>
      <c r="C628" s="3"/>
      <c r="D628" s="3"/>
      <c r="E628" s="3"/>
      <c r="F628" s="3"/>
      <c r="G628" s="3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4"/>
      <c r="S628" s="5"/>
      <c r="T628" s="3"/>
      <c r="U628" s="3"/>
    </row>
    <row r="629" ht="33.0" customHeight="1">
      <c r="A629" s="3"/>
      <c r="B629" s="3"/>
      <c r="C629" s="3"/>
      <c r="D629" s="3"/>
      <c r="E629" s="3"/>
      <c r="F629" s="3"/>
      <c r="G629" s="3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4"/>
      <c r="S629" s="5"/>
      <c r="T629" s="3"/>
      <c r="U629" s="3"/>
    </row>
    <row r="630" ht="33.0" customHeight="1">
      <c r="A630" s="3"/>
      <c r="B630" s="3"/>
      <c r="C630" s="3"/>
      <c r="D630" s="3"/>
      <c r="E630" s="3"/>
      <c r="F630" s="3"/>
      <c r="G630" s="3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4"/>
      <c r="S630" s="5"/>
      <c r="T630" s="3"/>
      <c r="U630" s="3"/>
    </row>
    <row r="631" ht="33.0" customHeight="1">
      <c r="A631" s="3"/>
      <c r="B631" s="3"/>
      <c r="C631" s="3"/>
      <c r="D631" s="3"/>
      <c r="E631" s="3"/>
      <c r="F631" s="3"/>
      <c r="G631" s="3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4"/>
      <c r="S631" s="5"/>
      <c r="T631" s="3"/>
      <c r="U631" s="3"/>
    </row>
    <row r="632" ht="33.0" customHeight="1">
      <c r="A632" s="3"/>
      <c r="B632" s="3"/>
      <c r="C632" s="3"/>
      <c r="D632" s="3"/>
      <c r="E632" s="3"/>
      <c r="F632" s="3"/>
      <c r="G632" s="3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4"/>
      <c r="S632" s="5"/>
      <c r="T632" s="3"/>
      <c r="U632" s="3"/>
    </row>
    <row r="633" ht="33.0" customHeight="1">
      <c r="A633" s="3"/>
      <c r="B633" s="3"/>
      <c r="C633" s="3"/>
      <c r="D633" s="3"/>
      <c r="E633" s="3"/>
      <c r="F633" s="3"/>
      <c r="G633" s="3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4"/>
      <c r="S633" s="5"/>
      <c r="T633" s="3"/>
      <c r="U633" s="3"/>
    </row>
    <row r="634" ht="33.0" customHeight="1">
      <c r="A634" s="3"/>
      <c r="B634" s="3"/>
      <c r="C634" s="3"/>
      <c r="D634" s="3"/>
      <c r="E634" s="3"/>
      <c r="F634" s="3"/>
      <c r="G634" s="3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4"/>
      <c r="S634" s="5"/>
      <c r="T634" s="3"/>
      <c r="U634" s="3"/>
    </row>
    <row r="635" ht="33.0" customHeight="1">
      <c r="A635" s="3"/>
      <c r="B635" s="3"/>
      <c r="C635" s="3"/>
      <c r="D635" s="3"/>
      <c r="E635" s="3"/>
      <c r="F635" s="3"/>
      <c r="G635" s="3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4"/>
      <c r="S635" s="5"/>
      <c r="T635" s="3"/>
      <c r="U635" s="3"/>
    </row>
    <row r="636" ht="33.0" customHeight="1">
      <c r="A636" s="3"/>
      <c r="B636" s="3"/>
      <c r="C636" s="3"/>
      <c r="D636" s="3"/>
      <c r="E636" s="3"/>
      <c r="F636" s="3"/>
      <c r="G636" s="3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4"/>
      <c r="S636" s="5"/>
      <c r="T636" s="3"/>
      <c r="U636" s="3"/>
    </row>
    <row r="637" ht="33.0" customHeight="1">
      <c r="A637" s="3"/>
      <c r="B637" s="3"/>
      <c r="C637" s="3"/>
      <c r="D637" s="3"/>
      <c r="E637" s="3"/>
      <c r="F637" s="3"/>
      <c r="G637" s="3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4"/>
      <c r="S637" s="5"/>
      <c r="T637" s="3"/>
      <c r="U637" s="3"/>
    </row>
    <row r="638" ht="33.0" customHeight="1">
      <c r="A638" s="3"/>
      <c r="B638" s="3"/>
      <c r="C638" s="3"/>
      <c r="D638" s="3"/>
      <c r="E638" s="3"/>
      <c r="F638" s="3"/>
      <c r="G638" s="3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4"/>
      <c r="S638" s="5"/>
      <c r="T638" s="3"/>
      <c r="U638" s="3"/>
    </row>
    <row r="639" ht="33.0" customHeight="1">
      <c r="A639" s="3"/>
      <c r="B639" s="3"/>
      <c r="C639" s="3"/>
      <c r="D639" s="3"/>
      <c r="E639" s="3"/>
      <c r="F639" s="3"/>
      <c r="G639" s="3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4"/>
      <c r="S639" s="5"/>
      <c r="T639" s="3"/>
      <c r="U639" s="3"/>
    </row>
    <row r="640" ht="33.0" customHeight="1">
      <c r="A640" s="3"/>
      <c r="B640" s="3"/>
      <c r="C640" s="3"/>
      <c r="D640" s="3"/>
      <c r="E640" s="3"/>
      <c r="F640" s="3"/>
      <c r="G640" s="3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4"/>
      <c r="S640" s="5"/>
      <c r="T640" s="3"/>
      <c r="U640" s="3"/>
    </row>
    <row r="641" ht="33.0" customHeight="1">
      <c r="A641" s="3"/>
      <c r="B641" s="3"/>
      <c r="C641" s="3"/>
      <c r="D641" s="3"/>
      <c r="E641" s="3"/>
      <c r="F641" s="3"/>
      <c r="G641" s="3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4"/>
      <c r="S641" s="5"/>
      <c r="T641" s="3"/>
      <c r="U641" s="3"/>
    </row>
    <row r="642" ht="33.0" customHeight="1">
      <c r="A642" s="3"/>
      <c r="B642" s="3"/>
      <c r="C642" s="3"/>
      <c r="D642" s="3"/>
      <c r="E642" s="3"/>
      <c r="F642" s="3"/>
      <c r="G642" s="3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4"/>
      <c r="S642" s="5"/>
      <c r="T642" s="3"/>
      <c r="U642" s="3"/>
    </row>
    <row r="643" ht="33.0" customHeight="1">
      <c r="A643" s="3"/>
      <c r="B643" s="3"/>
      <c r="C643" s="3"/>
      <c r="D643" s="3"/>
      <c r="E643" s="3"/>
      <c r="F643" s="3"/>
      <c r="G643" s="3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4"/>
      <c r="S643" s="5"/>
      <c r="T643" s="3"/>
      <c r="U643" s="3"/>
    </row>
    <row r="644" ht="33.0" customHeight="1">
      <c r="A644" s="3"/>
      <c r="B644" s="3"/>
      <c r="C644" s="3"/>
      <c r="D644" s="3"/>
      <c r="E644" s="3"/>
      <c r="F644" s="3"/>
      <c r="G644" s="3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4"/>
      <c r="S644" s="5"/>
      <c r="T644" s="3"/>
      <c r="U644" s="3"/>
    </row>
    <row r="645" ht="33.0" customHeight="1">
      <c r="A645" s="3"/>
      <c r="B645" s="3"/>
      <c r="C645" s="3"/>
      <c r="D645" s="3"/>
      <c r="E645" s="3"/>
      <c r="F645" s="3"/>
      <c r="G645" s="3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4"/>
      <c r="S645" s="5"/>
      <c r="T645" s="3"/>
      <c r="U645" s="3"/>
    </row>
    <row r="646" ht="33.0" customHeight="1">
      <c r="A646" s="3"/>
      <c r="B646" s="3"/>
      <c r="C646" s="3"/>
      <c r="D646" s="3"/>
      <c r="E646" s="3"/>
      <c r="F646" s="3"/>
      <c r="G646" s="3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4"/>
      <c r="S646" s="5"/>
      <c r="T646" s="3"/>
      <c r="U646" s="3"/>
    </row>
    <row r="647" ht="33.0" customHeight="1">
      <c r="A647" s="3"/>
      <c r="B647" s="3"/>
      <c r="C647" s="3"/>
      <c r="D647" s="3"/>
      <c r="E647" s="3"/>
      <c r="F647" s="3"/>
      <c r="G647" s="3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4"/>
      <c r="S647" s="5"/>
      <c r="T647" s="3"/>
      <c r="U647" s="3"/>
    </row>
    <row r="648" ht="33.0" customHeight="1">
      <c r="A648" s="3"/>
      <c r="B648" s="3"/>
      <c r="C648" s="3"/>
      <c r="D648" s="3"/>
      <c r="E648" s="3"/>
      <c r="F648" s="3"/>
      <c r="G648" s="3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4"/>
      <c r="S648" s="5"/>
      <c r="T648" s="3"/>
      <c r="U648" s="3"/>
    </row>
    <row r="649" ht="33.0" customHeight="1">
      <c r="A649" s="3"/>
      <c r="B649" s="3"/>
      <c r="C649" s="3"/>
      <c r="D649" s="3"/>
      <c r="E649" s="3"/>
      <c r="F649" s="3"/>
      <c r="G649" s="3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4"/>
      <c r="S649" s="5"/>
      <c r="T649" s="3"/>
      <c r="U649" s="3"/>
    </row>
    <row r="650" ht="33.0" customHeight="1">
      <c r="A650" s="3"/>
      <c r="B650" s="3"/>
      <c r="C650" s="3"/>
      <c r="D650" s="3"/>
      <c r="E650" s="3"/>
      <c r="F650" s="3"/>
      <c r="G650" s="3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4"/>
      <c r="S650" s="5"/>
      <c r="T650" s="3"/>
      <c r="U650" s="3"/>
    </row>
    <row r="651" ht="33.0" customHeight="1">
      <c r="A651" s="3"/>
      <c r="B651" s="3"/>
      <c r="C651" s="3"/>
      <c r="D651" s="3"/>
      <c r="E651" s="3"/>
      <c r="F651" s="3"/>
      <c r="G651" s="3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4"/>
      <c r="S651" s="5"/>
      <c r="T651" s="3"/>
      <c r="U651" s="3"/>
    </row>
    <row r="652" ht="33.0" customHeight="1">
      <c r="A652" s="3"/>
      <c r="B652" s="3"/>
      <c r="C652" s="3"/>
      <c r="D652" s="3"/>
      <c r="E652" s="3"/>
      <c r="F652" s="3"/>
      <c r="G652" s="3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4"/>
      <c r="S652" s="5"/>
      <c r="T652" s="3"/>
      <c r="U652" s="3"/>
    </row>
    <row r="653" ht="33.0" customHeight="1">
      <c r="A653" s="3"/>
      <c r="B653" s="3"/>
      <c r="C653" s="3"/>
      <c r="D653" s="3"/>
      <c r="E653" s="3"/>
      <c r="F653" s="3"/>
      <c r="G653" s="3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4"/>
      <c r="S653" s="5"/>
      <c r="T653" s="3"/>
      <c r="U653" s="3"/>
    </row>
    <row r="654" ht="33.0" customHeight="1">
      <c r="A654" s="3"/>
      <c r="B654" s="3"/>
      <c r="C654" s="3"/>
      <c r="D654" s="3"/>
      <c r="E654" s="3"/>
      <c r="F654" s="3"/>
      <c r="G654" s="3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4"/>
      <c r="S654" s="5"/>
      <c r="T654" s="3"/>
      <c r="U654" s="3"/>
    </row>
    <row r="655" ht="33.0" customHeight="1">
      <c r="A655" s="3"/>
      <c r="B655" s="3"/>
      <c r="C655" s="3"/>
      <c r="D655" s="3"/>
      <c r="E655" s="3"/>
      <c r="F655" s="3"/>
      <c r="G655" s="3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4"/>
      <c r="S655" s="5"/>
      <c r="T655" s="3"/>
      <c r="U655" s="3"/>
    </row>
    <row r="656" ht="33.0" customHeight="1">
      <c r="A656" s="3"/>
      <c r="B656" s="3"/>
      <c r="C656" s="3"/>
      <c r="D656" s="3"/>
      <c r="E656" s="3"/>
      <c r="F656" s="3"/>
      <c r="G656" s="3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4"/>
      <c r="S656" s="5"/>
      <c r="T656" s="3"/>
      <c r="U656" s="3"/>
    </row>
    <row r="657" ht="33.0" customHeight="1">
      <c r="A657" s="3"/>
      <c r="B657" s="3"/>
      <c r="C657" s="3"/>
      <c r="D657" s="3"/>
      <c r="E657" s="3"/>
      <c r="F657" s="3"/>
      <c r="G657" s="3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4"/>
      <c r="S657" s="5"/>
      <c r="T657" s="3"/>
      <c r="U657" s="3"/>
    </row>
    <row r="658" ht="33.0" customHeight="1">
      <c r="A658" s="3"/>
      <c r="B658" s="3"/>
      <c r="C658" s="3"/>
      <c r="D658" s="3"/>
      <c r="E658" s="3"/>
      <c r="F658" s="3"/>
      <c r="G658" s="3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4"/>
      <c r="S658" s="5"/>
      <c r="T658" s="3"/>
      <c r="U658" s="3"/>
    </row>
    <row r="659" ht="33.0" customHeight="1">
      <c r="A659" s="3"/>
      <c r="B659" s="3"/>
      <c r="C659" s="3"/>
      <c r="D659" s="3"/>
      <c r="E659" s="3"/>
      <c r="F659" s="3"/>
      <c r="G659" s="3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4"/>
      <c r="S659" s="5"/>
      <c r="T659" s="3"/>
      <c r="U659" s="3"/>
    </row>
    <row r="660" ht="33.0" customHeight="1">
      <c r="A660" s="3"/>
      <c r="B660" s="3"/>
      <c r="C660" s="3"/>
      <c r="D660" s="3"/>
      <c r="E660" s="3"/>
      <c r="F660" s="3"/>
      <c r="G660" s="3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4"/>
      <c r="S660" s="5"/>
      <c r="T660" s="3"/>
      <c r="U660" s="3"/>
    </row>
    <row r="661" ht="33.0" customHeight="1">
      <c r="A661" s="3"/>
      <c r="B661" s="3"/>
      <c r="C661" s="3"/>
      <c r="D661" s="3"/>
      <c r="E661" s="3"/>
      <c r="F661" s="3"/>
      <c r="G661" s="3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4"/>
      <c r="S661" s="5"/>
      <c r="T661" s="3"/>
      <c r="U661" s="3"/>
    </row>
    <row r="662" ht="33.0" customHeight="1">
      <c r="A662" s="3"/>
      <c r="B662" s="3"/>
      <c r="C662" s="3"/>
      <c r="D662" s="3"/>
      <c r="E662" s="3"/>
      <c r="F662" s="3"/>
      <c r="G662" s="3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4"/>
      <c r="S662" s="5"/>
      <c r="T662" s="3"/>
      <c r="U662" s="3"/>
    </row>
    <row r="663" ht="33.0" customHeight="1">
      <c r="A663" s="3"/>
      <c r="B663" s="3"/>
      <c r="C663" s="3"/>
      <c r="D663" s="3"/>
      <c r="E663" s="3"/>
      <c r="F663" s="3"/>
      <c r="G663" s="3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4"/>
      <c r="S663" s="5"/>
      <c r="T663" s="3"/>
      <c r="U663" s="3"/>
    </row>
    <row r="664" ht="33.0" customHeight="1">
      <c r="A664" s="3"/>
      <c r="B664" s="3"/>
      <c r="C664" s="3"/>
      <c r="D664" s="3"/>
      <c r="E664" s="3"/>
      <c r="F664" s="3"/>
      <c r="G664" s="3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4"/>
      <c r="S664" s="5"/>
      <c r="T664" s="3"/>
      <c r="U664" s="3"/>
    </row>
    <row r="665" ht="33.0" customHeight="1">
      <c r="A665" s="3"/>
      <c r="B665" s="3"/>
      <c r="C665" s="3"/>
      <c r="D665" s="3"/>
      <c r="E665" s="3"/>
      <c r="F665" s="3"/>
      <c r="G665" s="3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4"/>
      <c r="S665" s="5"/>
      <c r="T665" s="3"/>
      <c r="U665" s="3"/>
    </row>
    <row r="666" ht="33.0" customHeight="1">
      <c r="A666" s="3"/>
      <c r="B666" s="3"/>
      <c r="C666" s="3"/>
      <c r="D666" s="3"/>
      <c r="E666" s="3"/>
      <c r="F666" s="3"/>
      <c r="G666" s="3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4"/>
      <c r="S666" s="5"/>
      <c r="T666" s="3"/>
      <c r="U666" s="3"/>
    </row>
    <row r="667" ht="33.0" customHeight="1">
      <c r="A667" s="3"/>
      <c r="B667" s="3"/>
      <c r="C667" s="3"/>
      <c r="D667" s="3"/>
      <c r="E667" s="3"/>
      <c r="F667" s="3"/>
      <c r="G667" s="3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4"/>
      <c r="S667" s="5"/>
      <c r="T667" s="3"/>
      <c r="U667" s="3"/>
    </row>
    <row r="668" ht="33.0" customHeight="1">
      <c r="A668" s="3"/>
      <c r="B668" s="3"/>
      <c r="C668" s="3"/>
      <c r="D668" s="3"/>
      <c r="E668" s="3"/>
      <c r="F668" s="3"/>
      <c r="G668" s="3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4"/>
      <c r="S668" s="5"/>
      <c r="T668" s="3"/>
      <c r="U668" s="3"/>
    </row>
    <row r="669" ht="33.0" customHeight="1">
      <c r="A669" s="3"/>
      <c r="B669" s="3"/>
      <c r="C669" s="3"/>
      <c r="D669" s="3"/>
      <c r="E669" s="3"/>
      <c r="F669" s="3"/>
      <c r="G669" s="3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4"/>
      <c r="S669" s="5"/>
      <c r="T669" s="3"/>
      <c r="U669" s="3"/>
    </row>
    <row r="670" ht="33.0" customHeight="1">
      <c r="A670" s="3"/>
      <c r="B670" s="3"/>
      <c r="C670" s="3"/>
      <c r="D670" s="3"/>
      <c r="E670" s="3"/>
      <c r="F670" s="3"/>
      <c r="G670" s="3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4"/>
      <c r="S670" s="5"/>
      <c r="T670" s="3"/>
      <c r="U670" s="3"/>
    </row>
    <row r="671" ht="33.0" customHeight="1">
      <c r="A671" s="3"/>
      <c r="B671" s="3"/>
      <c r="C671" s="3"/>
      <c r="D671" s="3"/>
      <c r="E671" s="3"/>
      <c r="F671" s="3"/>
      <c r="G671" s="3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4"/>
      <c r="S671" s="5"/>
      <c r="T671" s="3"/>
      <c r="U671" s="3"/>
    </row>
    <row r="672" ht="33.0" customHeight="1">
      <c r="A672" s="3"/>
      <c r="B672" s="3"/>
      <c r="C672" s="3"/>
      <c r="D672" s="3"/>
      <c r="E672" s="3"/>
      <c r="F672" s="3"/>
      <c r="G672" s="3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4"/>
      <c r="S672" s="5"/>
      <c r="T672" s="3"/>
      <c r="U672" s="3"/>
    </row>
    <row r="673" ht="33.0" customHeight="1">
      <c r="A673" s="3"/>
      <c r="B673" s="3"/>
      <c r="C673" s="3"/>
      <c r="D673" s="3"/>
      <c r="E673" s="3"/>
      <c r="F673" s="3"/>
      <c r="G673" s="3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4"/>
      <c r="S673" s="5"/>
      <c r="T673" s="3"/>
      <c r="U673" s="3"/>
    </row>
    <row r="674" ht="33.0" customHeight="1">
      <c r="A674" s="3"/>
      <c r="B674" s="3"/>
      <c r="C674" s="3"/>
      <c r="D674" s="3"/>
      <c r="E674" s="3"/>
      <c r="F674" s="3"/>
      <c r="G674" s="3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4"/>
      <c r="S674" s="5"/>
      <c r="T674" s="3"/>
      <c r="U674" s="3"/>
    </row>
    <row r="675" ht="33.0" customHeight="1">
      <c r="A675" s="3"/>
      <c r="B675" s="3"/>
      <c r="C675" s="3"/>
      <c r="D675" s="3"/>
      <c r="E675" s="3"/>
      <c r="F675" s="3"/>
      <c r="G675" s="3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4"/>
      <c r="S675" s="5"/>
      <c r="T675" s="3"/>
      <c r="U675" s="3"/>
    </row>
    <row r="676" ht="33.0" customHeight="1">
      <c r="A676" s="3"/>
      <c r="B676" s="3"/>
      <c r="C676" s="3"/>
      <c r="D676" s="3"/>
      <c r="E676" s="3"/>
      <c r="F676" s="3"/>
      <c r="G676" s="3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4"/>
      <c r="S676" s="5"/>
      <c r="T676" s="3"/>
      <c r="U676" s="3"/>
    </row>
    <row r="677" ht="33.0" customHeight="1">
      <c r="A677" s="3"/>
      <c r="B677" s="3"/>
      <c r="C677" s="3"/>
      <c r="D677" s="3"/>
      <c r="E677" s="3"/>
      <c r="F677" s="3"/>
      <c r="G677" s="3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4"/>
      <c r="S677" s="5"/>
      <c r="T677" s="3"/>
      <c r="U677" s="3"/>
    </row>
    <row r="678" ht="33.0" customHeight="1">
      <c r="A678" s="3"/>
      <c r="B678" s="3"/>
      <c r="C678" s="3"/>
      <c r="D678" s="3"/>
      <c r="E678" s="3"/>
      <c r="F678" s="3"/>
      <c r="G678" s="3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4"/>
      <c r="S678" s="5"/>
      <c r="T678" s="3"/>
      <c r="U678" s="3"/>
    </row>
    <row r="679" ht="33.0" customHeight="1">
      <c r="A679" s="3"/>
      <c r="B679" s="3"/>
      <c r="C679" s="3"/>
      <c r="D679" s="3"/>
      <c r="E679" s="3"/>
      <c r="F679" s="3"/>
      <c r="G679" s="3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4"/>
      <c r="S679" s="5"/>
      <c r="T679" s="3"/>
      <c r="U679" s="3"/>
    </row>
    <row r="680" ht="33.0" customHeight="1">
      <c r="A680" s="3"/>
      <c r="B680" s="3"/>
      <c r="C680" s="3"/>
      <c r="D680" s="3"/>
      <c r="E680" s="3"/>
      <c r="F680" s="3"/>
      <c r="G680" s="3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4"/>
      <c r="S680" s="5"/>
      <c r="T680" s="3"/>
      <c r="U680" s="3"/>
    </row>
    <row r="681" ht="33.0" customHeight="1">
      <c r="A681" s="3"/>
      <c r="B681" s="3"/>
      <c r="C681" s="3"/>
      <c r="D681" s="3"/>
      <c r="E681" s="3"/>
      <c r="F681" s="3"/>
      <c r="G681" s="3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4"/>
      <c r="S681" s="5"/>
      <c r="T681" s="3"/>
      <c r="U681" s="3"/>
    </row>
    <row r="682" ht="33.0" customHeight="1">
      <c r="A682" s="3"/>
      <c r="B682" s="3"/>
      <c r="C682" s="3"/>
      <c r="D682" s="3"/>
      <c r="E682" s="3"/>
      <c r="F682" s="3"/>
      <c r="G682" s="3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4"/>
      <c r="S682" s="5"/>
      <c r="T682" s="3"/>
      <c r="U682" s="3"/>
    </row>
    <row r="683" ht="33.0" customHeight="1">
      <c r="A683" s="3"/>
      <c r="B683" s="3"/>
      <c r="C683" s="3"/>
      <c r="D683" s="3"/>
      <c r="E683" s="3"/>
      <c r="F683" s="3"/>
      <c r="G683" s="3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4"/>
      <c r="S683" s="5"/>
      <c r="T683" s="3"/>
      <c r="U683" s="3"/>
    </row>
    <row r="684" ht="33.0" customHeight="1">
      <c r="A684" s="3"/>
      <c r="B684" s="3"/>
      <c r="C684" s="3"/>
      <c r="D684" s="3"/>
      <c r="E684" s="3"/>
      <c r="F684" s="3"/>
      <c r="G684" s="3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4"/>
      <c r="S684" s="5"/>
      <c r="T684" s="3"/>
      <c r="U684" s="3"/>
    </row>
    <row r="685" ht="33.0" customHeight="1">
      <c r="A685" s="3"/>
      <c r="B685" s="3"/>
      <c r="C685" s="3"/>
      <c r="D685" s="3"/>
      <c r="E685" s="3"/>
      <c r="F685" s="3"/>
      <c r="G685" s="3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4"/>
      <c r="S685" s="5"/>
      <c r="T685" s="3"/>
      <c r="U685" s="3"/>
    </row>
    <row r="686" ht="33.0" customHeight="1">
      <c r="A686" s="3"/>
      <c r="B686" s="3"/>
      <c r="C686" s="3"/>
      <c r="D686" s="3"/>
      <c r="E686" s="3"/>
      <c r="F686" s="3"/>
      <c r="G686" s="3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4"/>
      <c r="S686" s="5"/>
      <c r="T686" s="3"/>
      <c r="U686" s="3"/>
    </row>
    <row r="687" ht="33.0" customHeight="1">
      <c r="A687" s="3"/>
      <c r="B687" s="3"/>
      <c r="C687" s="3"/>
      <c r="D687" s="3"/>
      <c r="E687" s="3"/>
      <c r="F687" s="3"/>
      <c r="G687" s="3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4"/>
      <c r="S687" s="5"/>
      <c r="T687" s="3"/>
      <c r="U687" s="3"/>
    </row>
    <row r="688" ht="33.0" customHeight="1">
      <c r="A688" s="3"/>
      <c r="B688" s="3"/>
      <c r="C688" s="3"/>
      <c r="D688" s="3"/>
      <c r="E688" s="3"/>
      <c r="F688" s="3"/>
      <c r="G688" s="3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4"/>
      <c r="S688" s="5"/>
      <c r="T688" s="3"/>
      <c r="U688" s="3"/>
    </row>
    <row r="689" ht="33.0" customHeight="1">
      <c r="A689" s="3"/>
      <c r="B689" s="3"/>
      <c r="C689" s="3"/>
      <c r="D689" s="3"/>
      <c r="E689" s="3"/>
      <c r="F689" s="3"/>
      <c r="G689" s="3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4"/>
      <c r="S689" s="5"/>
      <c r="T689" s="3"/>
      <c r="U689" s="3"/>
    </row>
    <row r="690" ht="33.0" customHeight="1">
      <c r="A690" s="3"/>
      <c r="B690" s="3"/>
      <c r="C690" s="3"/>
      <c r="D690" s="3"/>
      <c r="E690" s="3"/>
      <c r="F690" s="3"/>
      <c r="G690" s="3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4"/>
      <c r="S690" s="5"/>
      <c r="T690" s="3"/>
      <c r="U690" s="3"/>
    </row>
    <row r="691" ht="33.0" customHeight="1">
      <c r="A691" s="3"/>
      <c r="B691" s="3"/>
      <c r="C691" s="3"/>
      <c r="D691" s="3"/>
      <c r="E691" s="3"/>
      <c r="F691" s="3"/>
      <c r="G691" s="3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4"/>
      <c r="S691" s="5"/>
      <c r="T691" s="3"/>
      <c r="U691" s="3"/>
    </row>
    <row r="692" ht="33.0" customHeight="1">
      <c r="A692" s="3"/>
      <c r="B692" s="3"/>
      <c r="C692" s="3"/>
      <c r="D692" s="3"/>
      <c r="E692" s="3"/>
      <c r="F692" s="3"/>
      <c r="G692" s="3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4"/>
      <c r="S692" s="5"/>
      <c r="T692" s="3"/>
      <c r="U692" s="3"/>
    </row>
    <row r="693" ht="33.0" customHeight="1">
      <c r="A693" s="3"/>
      <c r="B693" s="3"/>
      <c r="C693" s="3"/>
      <c r="D693" s="3"/>
      <c r="E693" s="3"/>
      <c r="F693" s="3"/>
      <c r="G693" s="3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4"/>
      <c r="S693" s="5"/>
      <c r="T693" s="3"/>
      <c r="U693" s="3"/>
    </row>
    <row r="694" ht="33.0" customHeight="1">
      <c r="A694" s="3"/>
      <c r="B694" s="3"/>
      <c r="C694" s="3"/>
      <c r="D694" s="3"/>
      <c r="E694" s="3"/>
      <c r="F694" s="3"/>
      <c r="G694" s="3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4"/>
      <c r="S694" s="5"/>
      <c r="T694" s="3"/>
      <c r="U694" s="3"/>
    </row>
    <row r="695" ht="33.0" customHeight="1">
      <c r="A695" s="3"/>
      <c r="B695" s="3"/>
      <c r="C695" s="3"/>
      <c r="D695" s="3"/>
      <c r="E695" s="3"/>
      <c r="F695" s="3"/>
      <c r="G695" s="3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4"/>
      <c r="S695" s="5"/>
      <c r="T695" s="3"/>
      <c r="U695" s="3"/>
    </row>
    <row r="696" ht="33.0" customHeight="1">
      <c r="A696" s="3"/>
      <c r="B696" s="3"/>
      <c r="C696" s="3"/>
      <c r="D696" s="3"/>
      <c r="E696" s="3"/>
      <c r="F696" s="3"/>
      <c r="G696" s="3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4"/>
      <c r="S696" s="5"/>
      <c r="T696" s="3"/>
      <c r="U696" s="3"/>
    </row>
    <row r="697" ht="33.0" customHeight="1">
      <c r="A697" s="3"/>
      <c r="B697" s="3"/>
      <c r="C697" s="3"/>
      <c r="D697" s="3"/>
      <c r="E697" s="3"/>
      <c r="F697" s="3"/>
      <c r="G697" s="3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4"/>
      <c r="S697" s="5"/>
      <c r="T697" s="3"/>
      <c r="U697" s="3"/>
    </row>
    <row r="698" ht="33.0" customHeight="1">
      <c r="A698" s="3"/>
      <c r="B698" s="3"/>
      <c r="C698" s="3"/>
      <c r="D698" s="3"/>
      <c r="E698" s="3"/>
      <c r="F698" s="3"/>
      <c r="G698" s="3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4"/>
      <c r="S698" s="5"/>
      <c r="T698" s="3"/>
      <c r="U698" s="3"/>
    </row>
    <row r="699" ht="33.0" customHeight="1">
      <c r="A699" s="3"/>
      <c r="B699" s="3"/>
      <c r="C699" s="3"/>
      <c r="D699" s="3"/>
      <c r="E699" s="3"/>
      <c r="F699" s="3"/>
      <c r="G699" s="3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4"/>
      <c r="S699" s="5"/>
      <c r="T699" s="3"/>
      <c r="U699" s="3"/>
    </row>
    <row r="700" ht="33.0" customHeight="1">
      <c r="A700" s="3"/>
      <c r="B700" s="3"/>
      <c r="C700" s="3"/>
      <c r="D700" s="3"/>
      <c r="E700" s="3"/>
      <c r="F700" s="3"/>
      <c r="G700" s="3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4"/>
      <c r="S700" s="5"/>
      <c r="T700" s="3"/>
      <c r="U700" s="3"/>
    </row>
    <row r="701" ht="33.0" customHeight="1">
      <c r="A701" s="3"/>
      <c r="B701" s="3"/>
      <c r="C701" s="3"/>
      <c r="D701" s="3"/>
      <c r="E701" s="3"/>
      <c r="F701" s="3"/>
      <c r="G701" s="3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4"/>
      <c r="S701" s="5"/>
      <c r="T701" s="3"/>
      <c r="U701" s="3"/>
    </row>
    <row r="702" ht="33.0" customHeight="1">
      <c r="A702" s="3"/>
      <c r="B702" s="3"/>
      <c r="C702" s="3"/>
      <c r="D702" s="3"/>
      <c r="E702" s="3"/>
      <c r="F702" s="3"/>
      <c r="G702" s="3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4"/>
      <c r="S702" s="5"/>
      <c r="T702" s="3"/>
      <c r="U702" s="3"/>
    </row>
    <row r="703" ht="33.0" customHeight="1">
      <c r="A703" s="3"/>
      <c r="B703" s="3"/>
      <c r="C703" s="3"/>
      <c r="D703" s="3"/>
      <c r="E703" s="3"/>
      <c r="F703" s="3"/>
      <c r="G703" s="3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4"/>
      <c r="S703" s="5"/>
      <c r="T703" s="3"/>
      <c r="U703" s="3"/>
    </row>
    <row r="704" ht="33.0" customHeight="1">
      <c r="A704" s="3"/>
      <c r="B704" s="3"/>
      <c r="C704" s="3"/>
      <c r="D704" s="3"/>
      <c r="E704" s="3"/>
      <c r="F704" s="3"/>
      <c r="G704" s="3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4"/>
      <c r="S704" s="5"/>
      <c r="T704" s="3"/>
      <c r="U704" s="3"/>
    </row>
    <row r="705" ht="33.0" customHeight="1">
      <c r="A705" s="3"/>
      <c r="B705" s="3"/>
      <c r="C705" s="3"/>
      <c r="D705" s="3"/>
      <c r="E705" s="3"/>
      <c r="F705" s="3"/>
      <c r="G705" s="3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4"/>
      <c r="S705" s="5"/>
      <c r="T705" s="3"/>
      <c r="U705" s="3"/>
    </row>
    <row r="706" ht="33.0" customHeight="1">
      <c r="A706" s="3"/>
      <c r="B706" s="3"/>
      <c r="C706" s="3"/>
      <c r="D706" s="3"/>
      <c r="E706" s="3"/>
      <c r="F706" s="3"/>
      <c r="G706" s="3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4"/>
      <c r="S706" s="5"/>
      <c r="T706" s="3"/>
      <c r="U706" s="3"/>
    </row>
    <row r="707" ht="33.0" customHeight="1">
      <c r="A707" s="3"/>
      <c r="B707" s="3"/>
      <c r="C707" s="3"/>
      <c r="D707" s="3"/>
      <c r="E707" s="3"/>
      <c r="F707" s="3"/>
      <c r="G707" s="3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4"/>
      <c r="S707" s="5"/>
      <c r="T707" s="3"/>
      <c r="U707" s="3"/>
    </row>
    <row r="708" ht="33.0" customHeight="1">
      <c r="A708" s="3"/>
      <c r="B708" s="3"/>
      <c r="C708" s="3"/>
      <c r="D708" s="3"/>
      <c r="E708" s="3"/>
      <c r="F708" s="3"/>
      <c r="G708" s="3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4"/>
      <c r="S708" s="5"/>
      <c r="T708" s="3"/>
      <c r="U708" s="3"/>
    </row>
    <row r="709" ht="33.0" customHeight="1">
      <c r="A709" s="3"/>
      <c r="B709" s="3"/>
      <c r="C709" s="3"/>
      <c r="D709" s="3"/>
      <c r="E709" s="3"/>
      <c r="F709" s="3"/>
      <c r="G709" s="3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4"/>
      <c r="S709" s="5"/>
      <c r="T709" s="3"/>
      <c r="U709" s="3"/>
    </row>
    <row r="710" ht="33.0" customHeight="1">
      <c r="A710" s="3"/>
      <c r="B710" s="3"/>
      <c r="C710" s="3"/>
      <c r="D710" s="3"/>
      <c r="E710" s="3"/>
      <c r="F710" s="3"/>
      <c r="G710" s="3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4"/>
      <c r="S710" s="5"/>
      <c r="T710" s="3"/>
      <c r="U710" s="3"/>
    </row>
    <row r="711" ht="33.0" customHeight="1">
      <c r="A711" s="3"/>
      <c r="B711" s="3"/>
      <c r="C711" s="3"/>
      <c r="D711" s="3"/>
      <c r="E711" s="3"/>
      <c r="F711" s="3"/>
      <c r="G711" s="3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4"/>
      <c r="S711" s="5"/>
      <c r="T711" s="3"/>
      <c r="U711" s="3"/>
    </row>
    <row r="712" ht="33.0" customHeight="1">
      <c r="A712" s="3"/>
      <c r="B712" s="3"/>
      <c r="C712" s="3"/>
      <c r="D712" s="3"/>
      <c r="E712" s="3"/>
      <c r="F712" s="3"/>
      <c r="G712" s="3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4"/>
      <c r="S712" s="5"/>
      <c r="T712" s="3"/>
      <c r="U712" s="3"/>
    </row>
    <row r="713" ht="33.0" customHeight="1">
      <c r="A713" s="3"/>
      <c r="B713" s="3"/>
      <c r="C713" s="3"/>
      <c r="D713" s="3"/>
      <c r="E713" s="3"/>
      <c r="F713" s="3"/>
      <c r="G713" s="3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4"/>
      <c r="S713" s="5"/>
      <c r="T713" s="3"/>
      <c r="U713" s="3"/>
    </row>
    <row r="714" ht="33.0" customHeight="1">
      <c r="A714" s="3"/>
      <c r="B714" s="3"/>
      <c r="C714" s="3"/>
      <c r="D714" s="3"/>
      <c r="E714" s="3"/>
      <c r="F714" s="3"/>
      <c r="G714" s="3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4"/>
      <c r="S714" s="5"/>
      <c r="T714" s="3"/>
      <c r="U714" s="3"/>
    </row>
    <row r="715" ht="33.0" customHeight="1">
      <c r="A715" s="3"/>
      <c r="B715" s="3"/>
      <c r="C715" s="3"/>
      <c r="D715" s="3"/>
      <c r="E715" s="3"/>
      <c r="F715" s="3"/>
      <c r="G715" s="3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4"/>
      <c r="S715" s="5"/>
      <c r="T715" s="3"/>
      <c r="U715" s="3"/>
    </row>
    <row r="716" ht="33.0" customHeight="1">
      <c r="A716" s="3"/>
      <c r="B716" s="3"/>
      <c r="C716" s="3"/>
      <c r="D716" s="3"/>
      <c r="E716" s="3"/>
      <c r="F716" s="3"/>
      <c r="G716" s="3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4"/>
      <c r="S716" s="5"/>
      <c r="T716" s="3"/>
      <c r="U716" s="3"/>
    </row>
    <row r="717" ht="33.0" customHeight="1">
      <c r="A717" s="3"/>
      <c r="B717" s="3"/>
      <c r="C717" s="3"/>
      <c r="D717" s="3"/>
      <c r="E717" s="3"/>
      <c r="F717" s="3"/>
      <c r="G717" s="3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4"/>
      <c r="S717" s="5"/>
      <c r="T717" s="3"/>
      <c r="U717" s="3"/>
    </row>
    <row r="718" ht="33.0" customHeight="1">
      <c r="A718" s="3"/>
      <c r="B718" s="3"/>
      <c r="C718" s="3"/>
      <c r="D718" s="3"/>
      <c r="E718" s="3"/>
      <c r="F718" s="3"/>
      <c r="G718" s="3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4"/>
      <c r="S718" s="5"/>
      <c r="T718" s="3"/>
      <c r="U718" s="3"/>
    </row>
    <row r="719" ht="33.0" customHeight="1">
      <c r="A719" s="3"/>
      <c r="B719" s="3"/>
      <c r="C719" s="3"/>
      <c r="D719" s="3"/>
      <c r="E719" s="3"/>
      <c r="F719" s="3"/>
      <c r="G719" s="3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4"/>
      <c r="S719" s="5"/>
      <c r="T719" s="3"/>
      <c r="U719" s="3"/>
    </row>
    <row r="720" ht="33.0" customHeight="1">
      <c r="A720" s="3"/>
      <c r="B720" s="3"/>
      <c r="C720" s="3"/>
      <c r="D720" s="3"/>
      <c r="E720" s="3"/>
      <c r="F720" s="3"/>
      <c r="G720" s="3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4"/>
      <c r="S720" s="5"/>
      <c r="T720" s="3"/>
      <c r="U720" s="3"/>
    </row>
    <row r="721" ht="33.0" customHeight="1">
      <c r="A721" s="3"/>
      <c r="B721" s="3"/>
      <c r="C721" s="3"/>
      <c r="D721" s="3"/>
      <c r="E721" s="3"/>
      <c r="F721" s="3"/>
      <c r="G721" s="3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4"/>
      <c r="S721" s="5"/>
      <c r="T721" s="3"/>
      <c r="U721" s="3"/>
    </row>
    <row r="722" ht="33.0" customHeight="1">
      <c r="A722" s="3"/>
      <c r="B722" s="3"/>
      <c r="C722" s="3"/>
      <c r="D722" s="3"/>
      <c r="E722" s="3"/>
      <c r="F722" s="3"/>
      <c r="G722" s="3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4"/>
      <c r="S722" s="5"/>
      <c r="T722" s="3"/>
      <c r="U722" s="3"/>
    </row>
    <row r="723" ht="33.0" customHeight="1">
      <c r="A723" s="3"/>
      <c r="B723" s="3"/>
      <c r="C723" s="3"/>
      <c r="D723" s="3"/>
      <c r="E723" s="3"/>
      <c r="F723" s="3"/>
      <c r="G723" s="3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4"/>
      <c r="S723" s="5"/>
      <c r="T723" s="3"/>
      <c r="U723" s="3"/>
    </row>
    <row r="724" ht="33.0" customHeight="1">
      <c r="A724" s="3"/>
      <c r="B724" s="3"/>
      <c r="C724" s="3"/>
      <c r="D724" s="3"/>
      <c r="E724" s="3"/>
      <c r="F724" s="3"/>
      <c r="G724" s="3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4"/>
      <c r="S724" s="5"/>
      <c r="T724" s="3"/>
      <c r="U724" s="3"/>
    </row>
    <row r="725" ht="33.0" customHeight="1">
      <c r="A725" s="3"/>
      <c r="B725" s="3"/>
      <c r="C725" s="3"/>
      <c r="D725" s="3"/>
      <c r="E725" s="3"/>
      <c r="F725" s="3"/>
      <c r="G725" s="3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4"/>
      <c r="S725" s="5"/>
      <c r="T725" s="3"/>
      <c r="U725" s="3"/>
    </row>
    <row r="726" ht="33.0" customHeight="1">
      <c r="A726" s="3"/>
      <c r="B726" s="3"/>
      <c r="C726" s="3"/>
      <c r="D726" s="3"/>
      <c r="E726" s="3"/>
      <c r="F726" s="3"/>
      <c r="G726" s="3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4"/>
      <c r="S726" s="5"/>
      <c r="T726" s="3"/>
      <c r="U726" s="3"/>
    </row>
    <row r="727" ht="33.0" customHeight="1">
      <c r="A727" s="3"/>
      <c r="B727" s="3"/>
      <c r="C727" s="3"/>
      <c r="D727" s="3"/>
      <c r="E727" s="3"/>
      <c r="F727" s="3"/>
      <c r="G727" s="3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4"/>
      <c r="S727" s="5"/>
      <c r="T727" s="3"/>
      <c r="U727" s="3"/>
    </row>
    <row r="728" ht="33.0" customHeight="1">
      <c r="A728" s="3"/>
      <c r="B728" s="3"/>
      <c r="C728" s="3"/>
      <c r="D728" s="3"/>
      <c r="E728" s="3"/>
      <c r="F728" s="3"/>
      <c r="G728" s="3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4"/>
      <c r="S728" s="5"/>
      <c r="T728" s="3"/>
      <c r="U728" s="3"/>
    </row>
    <row r="729" ht="33.0" customHeight="1">
      <c r="A729" s="3"/>
      <c r="B729" s="3"/>
      <c r="C729" s="3"/>
      <c r="D729" s="3"/>
      <c r="E729" s="3"/>
      <c r="F729" s="3"/>
      <c r="G729" s="3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4"/>
      <c r="S729" s="5"/>
      <c r="T729" s="3"/>
      <c r="U729" s="3"/>
    </row>
    <row r="730" ht="33.0" customHeight="1">
      <c r="A730" s="3"/>
      <c r="B730" s="3"/>
      <c r="C730" s="3"/>
      <c r="D730" s="3"/>
      <c r="E730" s="3"/>
      <c r="F730" s="3"/>
      <c r="G730" s="3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4"/>
      <c r="S730" s="5"/>
      <c r="T730" s="3"/>
      <c r="U730" s="3"/>
    </row>
    <row r="731" ht="33.0" customHeight="1">
      <c r="A731" s="3"/>
      <c r="B731" s="3"/>
      <c r="C731" s="3"/>
      <c r="D731" s="3"/>
      <c r="E731" s="3"/>
      <c r="F731" s="3"/>
      <c r="G731" s="3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4"/>
      <c r="S731" s="5"/>
      <c r="T731" s="3"/>
      <c r="U731" s="3"/>
    </row>
    <row r="732" ht="33.0" customHeight="1">
      <c r="A732" s="3"/>
      <c r="B732" s="3"/>
      <c r="C732" s="3"/>
      <c r="D732" s="3"/>
      <c r="E732" s="3"/>
      <c r="F732" s="3"/>
      <c r="G732" s="3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4"/>
      <c r="S732" s="5"/>
      <c r="T732" s="3"/>
      <c r="U732" s="3"/>
    </row>
    <row r="733" ht="33.0" customHeight="1">
      <c r="A733" s="3"/>
      <c r="B733" s="3"/>
      <c r="C733" s="3"/>
      <c r="D733" s="3"/>
      <c r="E733" s="3"/>
      <c r="F733" s="3"/>
      <c r="G733" s="3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4"/>
      <c r="S733" s="5"/>
      <c r="T733" s="3"/>
      <c r="U733" s="3"/>
    </row>
    <row r="734" ht="33.0" customHeight="1">
      <c r="A734" s="3"/>
      <c r="B734" s="3"/>
      <c r="C734" s="3"/>
      <c r="D734" s="3"/>
      <c r="E734" s="3"/>
      <c r="F734" s="3"/>
      <c r="G734" s="3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4"/>
      <c r="S734" s="5"/>
      <c r="T734" s="3"/>
      <c r="U734" s="3"/>
    </row>
    <row r="735" ht="33.0" customHeight="1">
      <c r="A735" s="3"/>
      <c r="B735" s="3"/>
      <c r="C735" s="3"/>
      <c r="D735" s="3"/>
      <c r="E735" s="3"/>
      <c r="F735" s="3"/>
      <c r="G735" s="3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4"/>
      <c r="S735" s="5"/>
      <c r="T735" s="3"/>
      <c r="U735" s="3"/>
    </row>
    <row r="736" ht="33.0" customHeight="1">
      <c r="A736" s="3"/>
      <c r="B736" s="3"/>
      <c r="C736" s="3"/>
      <c r="D736" s="3"/>
      <c r="E736" s="3"/>
      <c r="F736" s="3"/>
      <c r="G736" s="3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4"/>
      <c r="S736" s="5"/>
      <c r="T736" s="3"/>
      <c r="U736" s="3"/>
    </row>
    <row r="737" ht="33.0" customHeight="1">
      <c r="A737" s="3"/>
      <c r="B737" s="3"/>
      <c r="C737" s="3"/>
      <c r="D737" s="3"/>
      <c r="E737" s="3"/>
      <c r="F737" s="3"/>
      <c r="G737" s="3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4"/>
      <c r="S737" s="5"/>
      <c r="T737" s="3"/>
      <c r="U737" s="3"/>
    </row>
    <row r="738" ht="33.0" customHeight="1">
      <c r="A738" s="3"/>
      <c r="B738" s="3"/>
      <c r="C738" s="3"/>
      <c r="D738" s="3"/>
      <c r="E738" s="3"/>
      <c r="F738" s="3"/>
      <c r="G738" s="3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4"/>
      <c r="S738" s="5"/>
      <c r="T738" s="3"/>
      <c r="U738" s="3"/>
    </row>
    <row r="739" ht="33.0" customHeight="1">
      <c r="A739" s="3"/>
      <c r="B739" s="3"/>
      <c r="C739" s="3"/>
      <c r="D739" s="3"/>
      <c r="E739" s="3"/>
      <c r="F739" s="3"/>
      <c r="G739" s="3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4"/>
      <c r="S739" s="5"/>
      <c r="T739" s="3"/>
      <c r="U739" s="3"/>
    </row>
    <row r="740" ht="33.0" customHeight="1">
      <c r="A740" s="3"/>
      <c r="B740" s="3"/>
      <c r="C740" s="3"/>
      <c r="D740" s="3"/>
      <c r="E740" s="3"/>
      <c r="F740" s="3"/>
      <c r="G740" s="3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4"/>
      <c r="S740" s="5"/>
      <c r="T740" s="3"/>
      <c r="U740" s="3"/>
    </row>
    <row r="741" ht="33.0" customHeight="1">
      <c r="A741" s="3"/>
      <c r="B741" s="3"/>
      <c r="C741" s="3"/>
      <c r="D741" s="3"/>
      <c r="E741" s="3"/>
      <c r="F741" s="3"/>
      <c r="G741" s="3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4"/>
      <c r="S741" s="5"/>
      <c r="T741" s="3"/>
      <c r="U741" s="3"/>
    </row>
    <row r="742" ht="33.0" customHeight="1">
      <c r="A742" s="3"/>
      <c r="B742" s="3"/>
      <c r="C742" s="3"/>
      <c r="D742" s="3"/>
      <c r="E742" s="3"/>
      <c r="F742" s="3"/>
      <c r="G742" s="3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4"/>
      <c r="S742" s="5"/>
      <c r="T742" s="3"/>
      <c r="U742" s="3"/>
    </row>
    <row r="743" ht="33.0" customHeight="1">
      <c r="A743" s="3"/>
      <c r="B743" s="3"/>
      <c r="C743" s="3"/>
      <c r="D743" s="3"/>
      <c r="E743" s="3"/>
      <c r="F743" s="3"/>
      <c r="G743" s="3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4"/>
      <c r="S743" s="5"/>
      <c r="T743" s="3"/>
      <c r="U743" s="3"/>
    </row>
    <row r="744" ht="33.0" customHeight="1">
      <c r="A744" s="3"/>
      <c r="B744" s="3"/>
      <c r="C744" s="3"/>
      <c r="D744" s="3"/>
      <c r="E744" s="3"/>
      <c r="F744" s="3"/>
      <c r="G744" s="3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4"/>
      <c r="S744" s="5"/>
      <c r="T744" s="3"/>
      <c r="U744" s="3"/>
    </row>
    <row r="745" ht="33.0" customHeight="1">
      <c r="A745" s="3"/>
      <c r="B745" s="3"/>
      <c r="C745" s="3"/>
      <c r="D745" s="3"/>
      <c r="E745" s="3"/>
      <c r="F745" s="3"/>
      <c r="G745" s="3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4"/>
      <c r="S745" s="5"/>
      <c r="T745" s="3"/>
      <c r="U745" s="3"/>
    </row>
    <row r="746" ht="33.0" customHeight="1">
      <c r="A746" s="3"/>
      <c r="B746" s="3"/>
      <c r="C746" s="3"/>
      <c r="D746" s="3"/>
      <c r="E746" s="3"/>
      <c r="F746" s="3"/>
      <c r="G746" s="3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4"/>
      <c r="S746" s="5"/>
      <c r="T746" s="3"/>
      <c r="U746" s="3"/>
    </row>
    <row r="747" ht="33.0" customHeight="1">
      <c r="A747" s="3"/>
      <c r="B747" s="3"/>
      <c r="C747" s="3"/>
      <c r="D747" s="3"/>
      <c r="E747" s="3"/>
      <c r="F747" s="3"/>
      <c r="G747" s="3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4"/>
      <c r="S747" s="5"/>
      <c r="T747" s="3"/>
      <c r="U747" s="3"/>
    </row>
    <row r="748" ht="33.0" customHeight="1">
      <c r="A748" s="3"/>
      <c r="B748" s="3"/>
      <c r="C748" s="3"/>
      <c r="D748" s="3"/>
      <c r="E748" s="3"/>
      <c r="F748" s="3"/>
      <c r="G748" s="3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4"/>
      <c r="S748" s="5"/>
      <c r="T748" s="3"/>
      <c r="U748" s="3"/>
    </row>
    <row r="749" ht="33.0" customHeight="1">
      <c r="A749" s="3"/>
      <c r="B749" s="3"/>
      <c r="C749" s="3"/>
      <c r="D749" s="3"/>
      <c r="E749" s="3"/>
      <c r="F749" s="3"/>
      <c r="G749" s="3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4"/>
      <c r="S749" s="5"/>
      <c r="T749" s="3"/>
      <c r="U749" s="3"/>
    </row>
    <row r="750" ht="33.0" customHeight="1">
      <c r="A750" s="3"/>
      <c r="B750" s="3"/>
      <c r="C750" s="3"/>
      <c r="D750" s="3"/>
      <c r="E750" s="3"/>
      <c r="F750" s="3"/>
      <c r="G750" s="3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4"/>
      <c r="S750" s="5"/>
      <c r="T750" s="3"/>
      <c r="U750" s="3"/>
    </row>
    <row r="751" ht="33.0" customHeight="1">
      <c r="A751" s="3"/>
      <c r="B751" s="3"/>
      <c r="C751" s="3"/>
      <c r="D751" s="3"/>
      <c r="E751" s="3"/>
      <c r="F751" s="3"/>
      <c r="G751" s="3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4"/>
      <c r="S751" s="5"/>
      <c r="T751" s="3"/>
      <c r="U751" s="3"/>
    </row>
    <row r="752" ht="33.0" customHeight="1">
      <c r="A752" s="3"/>
      <c r="B752" s="3"/>
      <c r="C752" s="3"/>
      <c r="D752" s="3"/>
      <c r="E752" s="3"/>
      <c r="F752" s="3"/>
      <c r="G752" s="3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4"/>
      <c r="S752" s="5"/>
      <c r="T752" s="3"/>
      <c r="U752" s="3"/>
    </row>
    <row r="753" ht="33.0" customHeight="1">
      <c r="A753" s="3"/>
      <c r="B753" s="3"/>
      <c r="C753" s="3"/>
      <c r="D753" s="3"/>
      <c r="E753" s="3"/>
      <c r="F753" s="3"/>
      <c r="G753" s="3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4"/>
      <c r="S753" s="5"/>
      <c r="T753" s="3"/>
      <c r="U753" s="3"/>
    </row>
    <row r="754" ht="33.0" customHeight="1">
      <c r="A754" s="3"/>
      <c r="B754" s="3"/>
      <c r="C754" s="3"/>
      <c r="D754" s="3"/>
      <c r="E754" s="3"/>
      <c r="F754" s="3"/>
      <c r="G754" s="3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4"/>
      <c r="S754" s="5"/>
      <c r="T754" s="3"/>
      <c r="U754" s="3"/>
    </row>
    <row r="755" ht="33.0" customHeight="1">
      <c r="A755" s="3"/>
      <c r="B755" s="3"/>
      <c r="C755" s="3"/>
      <c r="D755" s="3"/>
      <c r="E755" s="3"/>
      <c r="F755" s="3"/>
      <c r="G755" s="3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4"/>
      <c r="S755" s="5"/>
      <c r="T755" s="3"/>
      <c r="U755" s="3"/>
    </row>
    <row r="756" ht="33.0" customHeight="1">
      <c r="A756" s="3"/>
      <c r="B756" s="3"/>
      <c r="C756" s="3"/>
      <c r="D756" s="3"/>
      <c r="E756" s="3"/>
      <c r="F756" s="3"/>
      <c r="G756" s="3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4"/>
      <c r="S756" s="5"/>
      <c r="T756" s="3"/>
      <c r="U756" s="3"/>
    </row>
    <row r="757" ht="33.0" customHeight="1">
      <c r="A757" s="3"/>
      <c r="B757" s="3"/>
      <c r="C757" s="3"/>
      <c r="D757" s="3"/>
      <c r="E757" s="3"/>
      <c r="F757" s="3"/>
      <c r="G757" s="3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4"/>
      <c r="S757" s="5"/>
      <c r="T757" s="3"/>
      <c r="U757" s="3"/>
    </row>
    <row r="758" ht="33.0" customHeight="1">
      <c r="A758" s="3"/>
      <c r="B758" s="3"/>
      <c r="C758" s="3"/>
      <c r="D758" s="3"/>
      <c r="E758" s="3"/>
      <c r="F758" s="3"/>
      <c r="G758" s="3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4"/>
      <c r="S758" s="5"/>
      <c r="T758" s="3"/>
      <c r="U758" s="3"/>
    </row>
    <row r="759" ht="33.0" customHeight="1">
      <c r="A759" s="3"/>
      <c r="B759" s="3"/>
      <c r="C759" s="3"/>
      <c r="D759" s="3"/>
      <c r="E759" s="3"/>
      <c r="F759" s="3"/>
      <c r="G759" s="3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4"/>
      <c r="S759" s="5"/>
      <c r="T759" s="3"/>
      <c r="U759" s="3"/>
    </row>
    <row r="760" ht="33.0" customHeight="1">
      <c r="A760" s="3"/>
      <c r="B760" s="3"/>
      <c r="C760" s="3"/>
      <c r="D760" s="3"/>
      <c r="E760" s="3"/>
      <c r="F760" s="3"/>
      <c r="G760" s="3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4"/>
      <c r="S760" s="5"/>
      <c r="T760" s="3"/>
      <c r="U760" s="3"/>
    </row>
    <row r="761" ht="33.0" customHeight="1">
      <c r="A761" s="3"/>
      <c r="B761" s="3"/>
      <c r="C761" s="3"/>
      <c r="D761" s="3"/>
      <c r="E761" s="3"/>
      <c r="F761" s="3"/>
      <c r="G761" s="3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4"/>
      <c r="S761" s="5"/>
      <c r="T761" s="3"/>
      <c r="U761" s="3"/>
    </row>
    <row r="762" ht="33.0" customHeight="1">
      <c r="A762" s="3"/>
      <c r="B762" s="3"/>
      <c r="C762" s="3"/>
      <c r="D762" s="3"/>
      <c r="E762" s="3"/>
      <c r="F762" s="3"/>
      <c r="G762" s="3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4"/>
      <c r="S762" s="5"/>
      <c r="T762" s="3"/>
      <c r="U762" s="3"/>
    </row>
    <row r="763" ht="33.0" customHeight="1">
      <c r="A763" s="3"/>
      <c r="B763" s="3"/>
      <c r="C763" s="3"/>
      <c r="D763" s="3"/>
      <c r="E763" s="3"/>
      <c r="F763" s="3"/>
      <c r="G763" s="3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4"/>
      <c r="S763" s="5"/>
      <c r="T763" s="3"/>
      <c r="U763" s="3"/>
    </row>
    <row r="764" ht="33.0" customHeight="1">
      <c r="A764" s="3"/>
      <c r="B764" s="3"/>
      <c r="C764" s="3"/>
      <c r="D764" s="3"/>
      <c r="E764" s="3"/>
      <c r="F764" s="3"/>
      <c r="G764" s="3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4"/>
      <c r="S764" s="5"/>
      <c r="T764" s="3"/>
      <c r="U764" s="3"/>
    </row>
    <row r="765" ht="33.0" customHeight="1">
      <c r="A765" s="3"/>
      <c r="B765" s="3"/>
      <c r="C765" s="3"/>
      <c r="D765" s="3"/>
      <c r="E765" s="3"/>
      <c r="F765" s="3"/>
      <c r="G765" s="3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4"/>
      <c r="S765" s="5"/>
      <c r="T765" s="3"/>
      <c r="U765" s="3"/>
    </row>
    <row r="766" ht="33.0" customHeight="1">
      <c r="A766" s="3"/>
      <c r="B766" s="3"/>
      <c r="C766" s="3"/>
      <c r="D766" s="3"/>
      <c r="E766" s="3"/>
      <c r="F766" s="3"/>
      <c r="G766" s="3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4"/>
      <c r="S766" s="5"/>
      <c r="T766" s="3"/>
      <c r="U766" s="3"/>
    </row>
    <row r="767" ht="33.0" customHeight="1">
      <c r="A767" s="3"/>
      <c r="B767" s="3"/>
      <c r="C767" s="3"/>
      <c r="D767" s="3"/>
      <c r="E767" s="3"/>
      <c r="F767" s="3"/>
      <c r="G767" s="3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4"/>
      <c r="S767" s="5"/>
      <c r="T767" s="3"/>
      <c r="U767" s="3"/>
    </row>
    <row r="768" ht="33.0" customHeight="1">
      <c r="A768" s="3"/>
      <c r="B768" s="3"/>
      <c r="C768" s="3"/>
      <c r="D768" s="3"/>
      <c r="E768" s="3"/>
      <c r="F768" s="3"/>
      <c r="G768" s="3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4"/>
      <c r="S768" s="5"/>
      <c r="T768" s="3"/>
      <c r="U768" s="3"/>
    </row>
    <row r="769" ht="33.0" customHeight="1">
      <c r="A769" s="3"/>
      <c r="B769" s="3"/>
      <c r="C769" s="3"/>
      <c r="D769" s="3"/>
      <c r="E769" s="3"/>
      <c r="F769" s="3"/>
      <c r="G769" s="3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4"/>
      <c r="S769" s="5"/>
      <c r="T769" s="3"/>
      <c r="U769" s="3"/>
    </row>
    <row r="770" ht="33.0" customHeight="1">
      <c r="A770" s="3"/>
      <c r="B770" s="3"/>
      <c r="C770" s="3"/>
      <c r="D770" s="3"/>
      <c r="E770" s="3"/>
      <c r="F770" s="3"/>
      <c r="G770" s="3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4"/>
      <c r="S770" s="5"/>
      <c r="T770" s="3"/>
      <c r="U770" s="3"/>
    </row>
    <row r="771" ht="33.0" customHeight="1">
      <c r="A771" s="3"/>
      <c r="B771" s="3"/>
      <c r="C771" s="3"/>
      <c r="D771" s="3"/>
      <c r="E771" s="3"/>
      <c r="F771" s="3"/>
      <c r="G771" s="3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4"/>
      <c r="S771" s="5"/>
      <c r="T771" s="3"/>
      <c r="U771" s="3"/>
    </row>
    <row r="772" ht="33.0" customHeight="1">
      <c r="A772" s="3"/>
      <c r="B772" s="3"/>
      <c r="C772" s="3"/>
      <c r="D772" s="3"/>
      <c r="E772" s="3"/>
      <c r="F772" s="3"/>
      <c r="G772" s="3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4"/>
      <c r="S772" s="5"/>
      <c r="T772" s="3"/>
      <c r="U772" s="3"/>
    </row>
    <row r="773" ht="33.0" customHeight="1">
      <c r="A773" s="3"/>
      <c r="B773" s="3"/>
      <c r="C773" s="3"/>
      <c r="D773" s="3"/>
      <c r="E773" s="3"/>
      <c r="F773" s="3"/>
      <c r="G773" s="3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4"/>
      <c r="S773" s="5"/>
      <c r="T773" s="3"/>
      <c r="U773" s="3"/>
    </row>
    <row r="774" ht="33.0" customHeight="1">
      <c r="A774" s="3"/>
      <c r="B774" s="3"/>
      <c r="C774" s="3"/>
      <c r="D774" s="3"/>
      <c r="E774" s="3"/>
      <c r="F774" s="3"/>
      <c r="G774" s="3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4"/>
      <c r="S774" s="5"/>
      <c r="T774" s="3"/>
      <c r="U774" s="3"/>
    </row>
    <row r="775" ht="33.0" customHeight="1">
      <c r="A775" s="3"/>
      <c r="B775" s="3"/>
      <c r="C775" s="3"/>
      <c r="D775" s="3"/>
      <c r="E775" s="3"/>
      <c r="F775" s="3"/>
      <c r="G775" s="3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4"/>
      <c r="S775" s="5"/>
      <c r="T775" s="3"/>
      <c r="U775" s="3"/>
    </row>
    <row r="776" ht="33.0" customHeight="1">
      <c r="A776" s="3"/>
      <c r="B776" s="3"/>
      <c r="C776" s="3"/>
      <c r="D776" s="3"/>
      <c r="E776" s="3"/>
      <c r="F776" s="3"/>
      <c r="G776" s="3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4"/>
      <c r="S776" s="5"/>
      <c r="T776" s="3"/>
      <c r="U776" s="3"/>
    </row>
    <row r="777" ht="33.0" customHeight="1">
      <c r="A777" s="3"/>
      <c r="B777" s="3"/>
      <c r="C777" s="3"/>
      <c r="D777" s="3"/>
      <c r="E777" s="3"/>
      <c r="F777" s="3"/>
      <c r="G777" s="3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4"/>
      <c r="S777" s="5"/>
      <c r="T777" s="3"/>
      <c r="U777" s="3"/>
    </row>
    <row r="778" ht="33.0" customHeight="1">
      <c r="A778" s="3"/>
      <c r="B778" s="3"/>
      <c r="C778" s="3"/>
      <c r="D778" s="3"/>
      <c r="E778" s="3"/>
      <c r="F778" s="3"/>
      <c r="G778" s="3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4"/>
      <c r="S778" s="5"/>
      <c r="T778" s="3"/>
      <c r="U778" s="3"/>
    </row>
    <row r="779" ht="33.0" customHeight="1">
      <c r="A779" s="3"/>
      <c r="B779" s="3"/>
      <c r="C779" s="3"/>
      <c r="D779" s="3"/>
      <c r="E779" s="3"/>
      <c r="F779" s="3"/>
      <c r="G779" s="3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4"/>
      <c r="S779" s="5"/>
      <c r="T779" s="3"/>
      <c r="U779" s="3"/>
    </row>
    <row r="780" ht="33.0" customHeight="1">
      <c r="A780" s="3"/>
      <c r="B780" s="3"/>
      <c r="C780" s="3"/>
      <c r="D780" s="3"/>
      <c r="E780" s="3"/>
      <c r="F780" s="3"/>
      <c r="G780" s="3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4"/>
      <c r="S780" s="5"/>
      <c r="T780" s="3"/>
      <c r="U780" s="3"/>
    </row>
    <row r="781" ht="33.0" customHeight="1">
      <c r="A781" s="3"/>
      <c r="B781" s="3"/>
      <c r="C781" s="3"/>
      <c r="D781" s="3"/>
      <c r="E781" s="3"/>
      <c r="F781" s="3"/>
      <c r="G781" s="3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4"/>
      <c r="S781" s="5"/>
      <c r="T781" s="3"/>
      <c r="U781" s="3"/>
    </row>
    <row r="782" ht="33.0" customHeight="1">
      <c r="A782" s="3"/>
      <c r="B782" s="3"/>
      <c r="C782" s="3"/>
      <c r="D782" s="3"/>
      <c r="E782" s="3"/>
      <c r="F782" s="3"/>
      <c r="G782" s="3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4"/>
      <c r="S782" s="5"/>
      <c r="T782" s="3"/>
      <c r="U782" s="3"/>
    </row>
    <row r="783" ht="33.0" customHeight="1">
      <c r="A783" s="3"/>
      <c r="B783" s="3"/>
      <c r="C783" s="3"/>
      <c r="D783" s="3"/>
      <c r="E783" s="3"/>
      <c r="F783" s="3"/>
      <c r="G783" s="3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4"/>
      <c r="S783" s="5"/>
      <c r="T783" s="3"/>
      <c r="U783" s="3"/>
    </row>
    <row r="784" ht="33.0" customHeight="1">
      <c r="A784" s="3"/>
      <c r="B784" s="3"/>
      <c r="C784" s="3"/>
      <c r="D784" s="3"/>
      <c r="E784" s="3"/>
      <c r="F784" s="3"/>
      <c r="G784" s="3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4"/>
      <c r="S784" s="5"/>
      <c r="T784" s="3"/>
      <c r="U784" s="3"/>
    </row>
    <row r="785" ht="33.0" customHeight="1">
      <c r="A785" s="3"/>
      <c r="B785" s="3"/>
      <c r="C785" s="3"/>
      <c r="D785" s="3"/>
      <c r="E785" s="3"/>
      <c r="F785" s="3"/>
      <c r="G785" s="3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4"/>
      <c r="S785" s="5"/>
      <c r="T785" s="3"/>
      <c r="U785" s="3"/>
    </row>
    <row r="786" ht="33.0" customHeight="1">
      <c r="A786" s="3"/>
      <c r="B786" s="3"/>
      <c r="C786" s="3"/>
      <c r="D786" s="3"/>
      <c r="E786" s="3"/>
      <c r="F786" s="3"/>
      <c r="G786" s="3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4"/>
      <c r="S786" s="5"/>
      <c r="T786" s="3"/>
      <c r="U786" s="3"/>
    </row>
    <row r="787" ht="33.0" customHeight="1">
      <c r="A787" s="3"/>
      <c r="B787" s="3"/>
      <c r="C787" s="3"/>
      <c r="D787" s="3"/>
      <c r="E787" s="3"/>
      <c r="F787" s="3"/>
      <c r="G787" s="3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4"/>
      <c r="S787" s="5"/>
      <c r="T787" s="3"/>
      <c r="U787" s="3"/>
    </row>
    <row r="788" ht="33.0" customHeight="1">
      <c r="A788" s="3"/>
      <c r="B788" s="3"/>
      <c r="C788" s="3"/>
      <c r="D788" s="3"/>
      <c r="E788" s="3"/>
      <c r="F788" s="3"/>
      <c r="G788" s="3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4"/>
      <c r="S788" s="5"/>
      <c r="T788" s="3"/>
      <c r="U788" s="3"/>
    </row>
    <row r="789" ht="33.0" customHeight="1">
      <c r="A789" s="3"/>
      <c r="B789" s="3"/>
      <c r="C789" s="3"/>
      <c r="D789" s="3"/>
      <c r="E789" s="3"/>
      <c r="F789" s="3"/>
      <c r="G789" s="3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4"/>
      <c r="S789" s="5"/>
      <c r="T789" s="3"/>
      <c r="U789" s="3"/>
    </row>
    <row r="790" ht="33.0" customHeight="1">
      <c r="A790" s="3"/>
      <c r="B790" s="3"/>
      <c r="C790" s="3"/>
      <c r="D790" s="3"/>
      <c r="E790" s="3"/>
      <c r="F790" s="3"/>
      <c r="G790" s="3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4"/>
      <c r="S790" s="5"/>
      <c r="T790" s="3"/>
      <c r="U790" s="3"/>
    </row>
    <row r="791" ht="33.0" customHeight="1">
      <c r="A791" s="3"/>
      <c r="B791" s="3"/>
      <c r="C791" s="3"/>
      <c r="D791" s="3"/>
      <c r="E791" s="3"/>
      <c r="F791" s="3"/>
      <c r="G791" s="3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4"/>
      <c r="S791" s="5"/>
      <c r="T791" s="3"/>
      <c r="U791" s="3"/>
    </row>
    <row r="792" ht="33.0" customHeight="1">
      <c r="A792" s="3"/>
      <c r="B792" s="3"/>
      <c r="C792" s="3"/>
      <c r="D792" s="3"/>
      <c r="E792" s="3"/>
      <c r="F792" s="3"/>
      <c r="G792" s="3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4"/>
      <c r="S792" s="5"/>
      <c r="T792" s="3"/>
      <c r="U792" s="3"/>
    </row>
    <row r="793" ht="33.0" customHeight="1">
      <c r="A793" s="3"/>
      <c r="B793" s="3"/>
      <c r="C793" s="3"/>
      <c r="D793" s="3"/>
      <c r="E793" s="3"/>
      <c r="F793" s="3"/>
      <c r="G793" s="3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4"/>
      <c r="S793" s="5"/>
      <c r="T793" s="3"/>
      <c r="U793" s="3"/>
    </row>
    <row r="794" ht="33.0" customHeight="1">
      <c r="A794" s="3"/>
      <c r="B794" s="3"/>
      <c r="C794" s="3"/>
      <c r="D794" s="3"/>
      <c r="E794" s="3"/>
      <c r="F794" s="3"/>
      <c r="G794" s="3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4"/>
      <c r="S794" s="5"/>
      <c r="T794" s="3"/>
      <c r="U794" s="3"/>
    </row>
    <row r="795" ht="33.0" customHeight="1">
      <c r="A795" s="3"/>
      <c r="B795" s="3"/>
      <c r="C795" s="3"/>
      <c r="D795" s="3"/>
      <c r="E795" s="3"/>
      <c r="F795" s="3"/>
      <c r="G795" s="3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4"/>
      <c r="S795" s="5"/>
      <c r="T795" s="3"/>
      <c r="U795" s="3"/>
    </row>
    <row r="796" ht="33.0" customHeight="1">
      <c r="A796" s="3"/>
      <c r="B796" s="3"/>
      <c r="C796" s="3"/>
      <c r="D796" s="3"/>
      <c r="E796" s="3"/>
      <c r="F796" s="3"/>
      <c r="G796" s="3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4"/>
      <c r="S796" s="5"/>
      <c r="T796" s="3"/>
      <c r="U796" s="3"/>
    </row>
    <row r="797" ht="33.0" customHeight="1">
      <c r="A797" s="3"/>
      <c r="B797" s="3"/>
      <c r="C797" s="3"/>
      <c r="D797" s="3"/>
      <c r="E797" s="3"/>
      <c r="F797" s="3"/>
      <c r="G797" s="3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4"/>
      <c r="S797" s="5"/>
      <c r="T797" s="3"/>
      <c r="U797" s="3"/>
    </row>
    <row r="798" ht="33.0" customHeight="1">
      <c r="A798" s="3"/>
      <c r="B798" s="3"/>
      <c r="C798" s="3"/>
      <c r="D798" s="3"/>
      <c r="E798" s="3"/>
      <c r="F798" s="3"/>
      <c r="G798" s="3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4"/>
      <c r="S798" s="5"/>
      <c r="T798" s="3"/>
      <c r="U798" s="3"/>
    </row>
    <row r="799" ht="33.0" customHeight="1">
      <c r="A799" s="3"/>
      <c r="B799" s="3"/>
      <c r="C799" s="3"/>
      <c r="D799" s="3"/>
      <c r="E799" s="3"/>
      <c r="F799" s="3"/>
      <c r="G799" s="3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4"/>
      <c r="S799" s="5"/>
      <c r="T799" s="3"/>
      <c r="U799" s="3"/>
    </row>
    <row r="800" ht="33.0" customHeight="1">
      <c r="A800" s="3"/>
      <c r="B800" s="3"/>
      <c r="C800" s="3"/>
      <c r="D800" s="3"/>
      <c r="E800" s="3"/>
      <c r="F800" s="3"/>
      <c r="G800" s="3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4"/>
      <c r="S800" s="5"/>
      <c r="T800" s="3"/>
      <c r="U800" s="3"/>
    </row>
    <row r="801" ht="33.0" customHeight="1">
      <c r="A801" s="3"/>
      <c r="B801" s="3"/>
      <c r="C801" s="3"/>
      <c r="D801" s="3"/>
      <c r="E801" s="3"/>
      <c r="F801" s="3"/>
      <c r="G801" s="3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4"/>
      <c r="S801" s="5"/>
      <c r="T801" s="3"/>
      <c r="U801" s="3"/>
    </row>
    <row r="802" ht="33.0" customHeight="1">
      <c r="A802" s="3"/>
      <c r="B802" s="3"/>
      <c r="C802" s="3"/>
      <c r="D802" s="3"/>
      <c r="E802" s="3"/>
      <c r="F802" s="3"/>
      <c r="G802" s="3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4"/>
      <c r="S802" s="5"/>
      <c r="T802" s="3"/>
      <c r="U802" s="3"/>
    </row>
    <row r="803" ht="33.0" customHeight="1">
      <c r="A803" s="3"/>
      <c r="B803" s="3"/>
      <c r="C803" s="3"/>
      <c r="D803" s="3"/>
      <c r="E803" s="3"/>
      <c r="F803" s="3"/>
      <c r="G803" s="3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4"/>
      <c r="S803" s="5"/>
      <c r="T803" s="3"/>
      <c r="U803" s="3"/>
    </row>
    <row r="804" ht="33.0" customHeight="1">
      <c r="A804" s="3"/>
      <c r="B804" s="3"/>
      <c r="C804" s="3"/>
      <c r="D804" s="3"/>
      <c r="E804" s="3"/>
      <c r="F804" s="3"/>
      <c r="G804" s="3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4"/>
      <c r="S804" s="5"/>
      <c r="T804" s="3"/>
      <c r="U804" s="3"/>
    </row>
    <row r="805" ht="33.0" customHeight="1">
      <c r="A805" s="3"/>
      <c r="B805" s="3"/>
      <c r="C805" s="3"/>
      <c r="D805" s="3"/>
      <c r="E805" s="3"/>
      <c r="F805" s="3"/>
      <c r="G805" s="3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4"/>
      <c r="S805" s="5"/>
      <c r="T805" s="3"/>
      <c r="U805" s="3"/>
    </row>
    <row r="806" ht="33.0" customHeight="1">
      <c r="A806" s="3"/>
      <c r="B806" s="3"/>
      <c r="C806" s="3"/>
      <c r="D806" s="3"/>
      <c r="E806" s="3"/>
      <c r="F806" s="3"/>
      <c r="G806" s="3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4"/>
      <c r="S806" s="5"/>
      <c r="T806" s="3"/>
      <c r="U806" s="3"/>
    </row>
    <row r="807" ht="33.0" customHeight="1">
      <c r="A807" s="3"/>
      <c r="B807" s="3"/>
      <c r="C807" s="3"/>
      <c r="D807" s="3"/>
      <c r="E807" s="3"/>
      <c r="F807" s="3"/>
      <c r="G807" s="3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4"/>
      <c r="S807" s="5"/>
      <c r="T807" s="3"/>
      <c r="U807" s="3"/>
    </row>
    <row r="808" ht="33.0" customHeight="1">
      <c r="A808" s="3"/>
      <c r="B808" s="3"/>
      <c r="C808" s="3"/>
      <c r="D808" s="3"/>
      <c r="E808" s="3"/>
      <c r="F808" s="3"/>
      <c r="G808" s="3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4"/>
      <c r="S808" s="5"/>
      <c r="T808" s="3"/>
      <c r="U808" s="3"/>
    </row>
    <row r="809" ht="33.0" customHeight="1">
      <c r="A809" s="3"/>
      <c r="B809" s="3"/>
      <c r="C809" s="3"/>
      <c r="D809" s="3"/>
      <c r="E809" s="3"/>
      <c r="F809" s="3"/>
      <c r="G809" s="3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4"/>
      <c r="S809" s="5"/>
      <c r="T809" s="3"/>
      <c r="U809" s="3"/>
    </row>
    <row r="810" ht="33.0" customHeight="1">
      <c r="A810" s="3"/>
      <c r="B810" s="3"/>
      <c r="C810" s="3"/>
      <c r="D810" s="3"/>
      <c r="E810" s="3"/>
      <c r="F810" s="3"/>
      <c r="G810" s="3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4"/>
      <c r="S810" s="5"/>
      <c r="T810" s="3"/>
      <c r="U810" s="3"/>
    </row>
    <row r="811" ht="33.0" customHeight="1">
      <c r="A811" s="3"/>
      <c r="B811" s="3"/>
      <c r="C811" s="3"/>
      <c r="D811" s="3"/>
      <c r="E811" s="3"/>
      <c r="F811" s="3"/>
      <c r="G811" s="3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4"/>
      <c r="S811" s="5"/>
      <c r="T811" s="3"/>
      <c r="U811" s="3"/>
    </row>
    <row r="812" ht="33.0" customHeight="1">
      <c r="A812" s="3"/>
      <c r="B812" s="3"/>
      <c r="C812" s="3"/>
      <c r="D812" s="3"/>
      <c r="E812" s="3"/>
      <c r="F812" s="3"/>
      <c r="G812" s="3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4"/>
      <c r="S812" s="5"/>
      <c r="T812" s="3"/>
      <c r="U812" s="3"/>
    </row>
    <row r="813" ht="33.0" customHeight="1">
      <c r="A813" s="3"/>
      <c r="B813" s="3"/>
      <c r="C813" s="3"/>
      <c r="D813" s="3"/>
      <c r="E813" s="3"/>
      <c r="F813" s="3"/>
      <c r="G813" s="3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4"/>
      <c r="S813" s="5"/>
      <c r="T813" s="3"/>
      <c r="U813" s="3"/>
    </row>
    <row r="814" ht="33.0" customHeight="1">
      <c r="A814" s="3"/>
      <c r="B814" s="3"/>
      <c r="C814" s="3"/>
      <c r="D814" s="3"/>
      <c r="E814" s="3"/>
      <c r="F814" s="3"/>
      <c r="G814" s="3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4"/>
      <c r="S814" s="5"/>
      <c r="T814" s="3"/>
      <c r="U814" s="3"/>
    </row>
    <row r="815" ht="33.0" customHeight="1">
      <c r="A815" s="3"/>
      <c r="B815" s="3"/>
      <c r="C815" s="3"/>
      <c r="D815" s="3"/>
      <c r="E815" s="3"/>
      <c r="F815" s="3"/>
      <c r="G815" s="3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4"/>
      <c r="S815" s="5"/>
      <c r="T815" s="3"/>
      <c r="U815" s="3"/>
    </row>
    <row r="816" ht="33.0" customHeight="1">
      <c r="A816" s="3"/>
      <c r="B816" s="3"/>
      <c r="C816" s="3"/>
      <c r="D816" s="3"/>
      <c r="E816" s="3"/>
      <c r="F816" s="3"/>
      <c r="G816" s="3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4"/>
      <c r="S816" s="5"/>
      <c r="T816" s="3"/>
      <c r="U816" s="3"/>
    </row>
    <row r="817" ht="33.0" customHeight="1">
      <c r="A817" s="3"/>
      <c r="B817" s="3"/>
      <c r="C817" s="3"/>
      <c r="D817" s="3"/>
      <c r="E817" s="3"/>
      <c r="F817" s="3"/>
      <c r="G817" s="3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4"/>
      <c r="S817" s="5"/>
      <c r="T817" s="3"/>
      <c r="U817" s="3"/>
    </row>
    <row r="818" ht="33.0" customHeight="1">
      <c r="A818" s="3"/>
      <c r="B818" s="3"/>
      <c r="C818" s="3"/>
      <c r="D818" s="3"/>
      <c r="E818" s="3"/>
      <c r="F818" s="3"/>
      <c r="G818" s="3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4"/>
      <c r="S818" s="5"/>
      <c r="T818" s="3"/>
      <c r="U818" s="3"/>
    </row>
    <row r="819" ht="33.0" customHeight="1">
      <c r="A819" s="3"/>
      <c r="B819" s="3"/>
      <c r="C819" s="3"/>
      <c r="D819" s="3"/>
      <c r="E819" s="3"/>
      <c r="F819" s="3"/>
      <c r="G819" s="3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4"/>
      <c r="S819" s="5"/>
      <c r="T819" s="3"/>
      <c r="U819" s="3"/>
    </row>
    <row r="820" ht="33.0" customHeight="1">
      <c r="A820" s="3"/>
      <c r="B820" s="3"/>
      <c r="C820" s="3"/>
      <c r="D820" s="3"/>
      <c r="E820" s="3"/>
      <c r="F820" s="3"/>
      <c r="G820" s="3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4"/>
      <c r="S820" s="5"/>
      <c r="T820" s="3"/>
      <c r="U820" s="3"/>
    </row>
    <row r="821" ht="33.0" customHeight="1">
      <c r="A821" s="3"/>
      <c r="B821" s="3"/>
      <c r="C821" s="3"/>
      <c r="D821" s="3"/>
      <c r="E821" s="3"/>
      <c r="F821" s="3"/>
      <c r="G821" s="3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4"/>
      <c r="S821" s="5"/>
      <c r="T821" s="3"/>
      <c r="U821" s="3"/>
    </row>
    <row r="822" ht="33.0" customHeight="1">
      <c r="A822" s="3"/>
      <c r="B822" s="3"/>
      <c r="C822" s="3"/>
      <c r="D822" s="3"/>
      <c r="E822" s="3"/>
      <c r="F822" s="3"/>
      <c r="G822" s="3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4"/>
      <c r="S822" s="5"/>
      <c r="T822" s="3"/>
      <c r="U822" s="3"/>
    </row>
    <row r="823" ht="33.0" customHeight="1">
      <c r="A823" s="3"/>
      <c r="B823" s="3"/>
      <c r="C823" s="3"/>
      <c r="D823" s="3"/>
      <c r="E823" s="3"/>
      <c r="F823" s="3"/>
      <c r="G823" s="3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4"/>
      <c r="S823" s="5"/>
      <c r="T823" s="3"/>
      <c r="U823" s="3"/>
    </row>
    <row r="824" ht="33.0" customHeight="1">
      <c r="A824" s="3"/>
      <c r="B824" s="3"/>
      <c r="C824" s="3"/>
      <c r="D824" s="3"/>
      <c r="E824" s="3"/>
      <c r="F824" s="3"/>
      <c r="G824" s="3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4"/>
      <c r="S824" s="5"/>
      <c r="T824" s="3"/>
      <c r="U824" s="3"/>
    </row>
    <row r="825" ht="33.0" customHeight="1">
      <c r="A825" s="3"/>
      <c r="B825" s="3"/>
      <c r="C825" s="3"/>
      <c r="D825" s="3"/>
      <c r="E825" s="3"/>
      <c r="F825" s="3"/>
      <c r="G825" s="3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4"/>
      <c r="S825" s="5"/>
      <c r="T825" s="3"/>
      <c r="U825" s="3"/>
    </row>
    <row r="826" ht="33.0" customHeight="1">
      <c r="A826" s="3"/>
      <c r="B826" s="3"/>
      <c r="C826" s="3"/>
      <c r="D826" s="3"/>
      <c r="E826" s="3"/>
      <c r="F826" s="3"/>
      <c r="G826" s="3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4"/>
      <c r="S826" s="5"/>
      <c r="T826" s="3"/>
      <c r="U826" s="3"/>
    </row>
    <row r="827" ht="33.0" customHeight="1">
      <c r="A827" s="3"/>
      <c r="B827" s="3"/>
      <c r="C827" s="3"/>
      <c r="D827" s="3"/>
      <c r="E827" s="3"/>
      <c r="F827" s="3"/>
      <c r="G827" s="3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4"/>
      <c r="S827" s="5"/>
      <c r="T827" s="3"/>
      <c r="U827" s="3"/>
    </row>
    <row r="828" ht="33.0" customHeight="1">
      <c r="A828" s="3"/>
      <c r="B828" s="3"/>
      <c r="C828" s="3"/>
      <c r="D828" s="3"/>
      <c r="E828" s="3"/>
      <c r="F828" s="3"/>
      <c r="G828" s="3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4"/>
      <c r="S828" s="5"/>
      <c r="T828" s="3"/>
      <c r="U828" s="3"/>
    </row>
    <row r="829" ht="33.0" customHeight="1">
      <c r="A829" s="3"/>
      <c r="B829" s="3"/>
      <c r="C829" s="3"/>
      <c r="D829" s="3"/>
      <c r="E829" s="3"/>
      <c r="F829" s="3"/>
      <c r="G829" s="3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4"/>
      <c r="S829" s="5"/>
      <c r="T829" s="3"/>
      <c r="U829" s="3"/>
    </row>
    <row r="830" ht="33.0" customHeight="1">
      <c r="A830" s="3"/>
      <c r="B830" s="3"/>
      <c r="C830" s="3"/>
      <c r="D830" s="3"/>
      <c r="E830" s="3"/>
      <c r="F830" s="3"/>
      <c r="G830" s="3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4"/>
      <c r="S830" s="5"/>
      <c r="T830" s="3"/>
      <c r="U830" s="3"/>
    </row>
    <row r="831" ht="33.0" customHeight="1">
      <c r="A831" s="3"/>
      <c r="B831" s="3"/>
      <c r="C831" s="3"/>
      <c r="D831" s="3"/>
      <c r="E831" s="3"/>
      <c r="F831" s="3"/>
      <c r="G831" s="3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4"/>
      <c r="S831" s="5"/>
      <c r="T831" s="3"/>
      <c r="U831" s="3"/>
    </row>
    <row r="832" ht="33.0" customHeight="1">
      <c r="A832" s="3"/>
      <c r="B832" s="3"/>
      <c r="C832" s="3"/>
      <c r="D832" s="3"/>
      <c r="E832" s="3"/>
      <c r="F832" s="3"/>
      <c r="G832" s="3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4"/>
      <c r="S832" s="5"/>
      <c r="T832" s="3"/>
      <c r="U832" s="3"/>
    </row>
    <row r="833" ht="33.0" customHeight="1">
      <c r="A833" s="3"/>
      <c r="B833" s="3"/>
      <c r="C833" s="3"/>
      <c r="D833" s="3"/>
      <c r="E833" s="3"/>
      <c r="F833" s="3"/>
      <c r="G833" s="3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4"/>
      <c r="S833" s="5"/>
      <c r="T833" s="3"/>
      <c r="U833" s="3"/>
    </row>
    <row r="834" ht="33.0" customHeight="1">
      <c r="A834" s="3"/>
      <c r="B834" s="3"/>
      <c r="C834" s="3"/>
      <c r="D834" s="3"/>
      <c r="E834" s="3"/>
      <c r="F834" s="3"/>
      <c r="G834" s="3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4"/>
      <c r="S834" s="5"/>
      <c r="T834" s="3"/>
      <c r="U834" s="3"/>
    </row>
    <row r="835" ht="33.0" customHeight="1">
      <c r="A835" s="3"/>
      <c r="B835" s="3"/>
      <c r="C835" s="3"/>
      <c r="D835" s="3"/>
      <c r="E835" s="3"/>
      <c r="F835" s="3"/>
      <c r="G835" s="3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4"/>
      <c r="S835" s="5"/>
      <c r="T835" s="3"/>
      <c r="U835" s="3"/>
    </row>
    <row r="836" ht="33.0" customHeight="1">
      <c r="A836" s="3"/>
      <c r="B836" s="3"/>
      <c r="C836" s="3"/>
      <c r="D836" s="3"/>
      <c r="E836" s="3"/>
      <c r="F836" s="3"/>
      <c r="G836" s="3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4"/>
      <c r="S836" s="5"/>
      <c r="T836" s="3"/>
      <c r="U836" s="3"/>
    </row>
    <row r="837" ht="33.0" customHeight="1">
      <c r="A837" s="3"/>
      <c r="B837" s="3"/>
      <c r="C837" s="3"/>
      <c r="D837" s="3"/>
      <c r="E837" s="3"/>
      <c r="F837" s="3"/>
      <c r="G837" s="3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4"/>
      <c r="S837" s="5"/>
      <c r="T837" s="3"/>
      <c r="U837" s="3"/>
    </row>
    <row r="838" ht="33.0" customHeight="1">
      <c r="A838" s="3"/>
      <c r="B838" s="3"/>
      <c r="C838" s="3"/>
      <c r="D838" s="3"/>
      <c r="E838" s="3"/>
      <c r="F838" s="3"/>
      <c r="G838" s="3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4"/>
      <c r="S838" s="5"/>
      <c r="T838" s="3"/>
      <c r="U838" s="3"/>
    </row>
    <row r="839" ht="33.0" customHeight="1">
      <c r="A839" s="3"/>
      <c r="B839" s="3"/>
      <c r="C839" s="3"/>
      <c r="D839" s="3"/>
      <c r="E839" s="3"/>
      <c r="F839" s="3"/>
      <c r="G839" s="3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4"/>
      <c r="S839" s="5"/>
      <c r="T839" s="3"/>
      <c r="U839" s="3"/>
    </row>
    <row r="840" ht="33.0" customHeight="1">
      <c r="A840" s="3"/>
      <c r="B840" s="3"/>
      <c r="C840" s="3"/>
      <c r="D840" s="3"/>
      <c r="E840" s="3"/>
      <c r="F840" s="3"/>
      <c r="G840" s="3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4"/>
      <c r="S840" s="5"/>
      <c r="T840" s="3"/>
      <c r="U840" s="3"/>
    </row>
    <row r="841" ht="33.0" customHeight="1">
      <c r="A841" s="3"/>
      <c r="B841" s="3"/>
      <c r="C841" s="3"/>
      <c r="D841" s="3"/>
      <c r="E841" s="3"/>
      <c r="F841" s="3"/>
      <c r="G841" s="3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4"/>
      <c r="S841" s="5"/>
      <c r="T841" s="3"/>
      <c r="U841" s="3"/>
    </row>
    <row r="842" ht="33.0" customHeight="1">
      <c r="A842" s="3"/>
      <c r="B842" s="3"/>
      <c r="C842" s="3"/>
      <c r="D842" s="3"/>
      <c r="E842" s="3"/>
      <c r="F842" s="3"/>
      <c r="G842" s="3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4"/>
      <c r="S842" s="5"/>
      <c r="T842" s="3"/>
      <c r="U842" s="3"/>
    </row>
    <row r="843" ht="33.0" customHeight="1">
      <c r="A843" s="3"/>
      <c r="B843" s="3"/>
      <c r="C843" s="3"/>
      <c r="D843" s="3"/>
      <c r="E843" s="3"/>
      <c r="F843" s="3"/>
      <c r="G843" s="3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4"/>
      <c r="S843" s="5"/>
      <c r="T843" s="3"/>
      <c r="U843" s="3"/>
    </row>
    <row r="844" ht="33.0" customHeight="1">
      <c r="A844" s="3"/>
      <c r="B844" s="3"/>
      <c r="C844" s="3"/>
      <c r="D844" s="3"/>
      <c r="E844" s="3"/>
      <c r="F844" s="3"/>
      <c r="G844" s="3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4"/>
      <c r="S844" s="5"/>
      <c r="T844" s="3"/>
      <c r="U844" s="3"/>
    </row>
    <row r="845" ht="33.0" customHeight="1">
      <c r="A845" s="3"/>
      <c r="B845" s="3"/>
      <c r="C845" s="3"/>
      <c r="D845" s="3"/>
      <c r="E845" s="3"/>
      <c r="F845" s="3"/>
      <c r="G845" s="3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4"/>
      <c r="S845" s="5"/>
      <c r="T845" s="3"/>
      <c r="U845" s="3"/>
    </row>
    <row r="846" ht="33.0" customHeight="1">
      <c r="A846" s="3"/>
      <c r="B846" s="3"/>
      <c r="C846" s="3"/>
      <c r="D846" s="3"/>
      <c r="E846" s="3"/>
      <c r="F846" s="3"/>
      <c r="G846" s="3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4"/>
      <c r="S846" s="5"/>
      <c r="T846" s="3"/>
      <c r="U846" s="3"/>
    </row>
    <row r="847" ht="33.0" customHeight="1">
      <c r="A847" s="3"/>
      <c r="B847" s="3"/>
      <c r="C847" s="3"/>
      <c r="D847" s="3"/>
      <c r="E847" s="3"/>
      <c r="F847" s="3"/>
      <c r="G847" s="3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4"/>
      <c r="S847" s="5"/>
      <c r="T847" s="3"/>
      <c r="U847" s="3"/>
    </row>
    <row r="848" ht="33.0" customHeight="1">
      <c r="A848" s="3"/>
      <c r="B848" s="3"/>
      <c r="C848" s="3"/>
      <c r="D848" s="3"/>
      <c r="E848" s="3"/>
      <c r="F848" s="3"/>
      <c r="G848" s="3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4"/>
      <c r="S848" s="5"/>
      <c r="T848" s="3"/>
      <c r="U848" s="3"/>
    </row>
    <row r="849" ht="33.0" customHeight="1">
      <c r="A849" s="3"/>
      <c r="B849" s="3"/>
      <c r="C849" s="3"/>
      <c r="D849" s="3"/>
      <c r="E849" s="3"/>
      <c r="F849" s="3"/>
      <c r="G849" s="3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4"/>
      <c r="S849" s="5"/>
      <c r="T849" s="3"/>
      <c r="U849" s="3"/>
    </row>
    <row r="850" ht="33.0" customHeight="1">
      <c r="A850" s="3"/>
      <c r="B850" s="3"/>
      <c r="C850" s="3"/>
      <c r="D850" s="3"/>
      <c r="E850" s="3"/>
      <c r="F850" s="3"/>
      <c r="G850" s="3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4"/>
      <c r="S850" s="5"/>
      <c r="T850" s="3"/>
      <c r="U850" s="3"/>
    </row>
    <row r="851" ht="33.0" customHeight="1">
      <c r="A851" s="3"/>
      <c r="B851" s="3"/>
      <c r="C851" s="3"/>
      <c r="D851" s="3"/>
      <c r="E851" s="3"/>
      <c r="F851" s="3"/>
      <c r="G851" s="3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4"/>
      <c r="S851" s="5"/>
      <c r="T851" s="3"/>
      <c r="U851" s="3"/>
    </row>
    <row r="852" ht="33.0" customHeight="1">
      <c r="A852" s="3"/>
      <c r="B852" s="3"/>
      <c r="C852" s="3"/>
      <c r="D852" s="3"/>
      <c r="E852" s="3"/>
      <c r="F852" s="3"/>
      <c r="G852" s="3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4"/>
      <c r="S852" s="5"/>
      <c r="T852" s="3"/>
      <c r="U852" s="3"/>
    </row>
    <row r="853" ht="33.0" customHeight="1">
      <c r="A853" s="3"/>
      <c r="B853" s="3"/>
      <c r="C853" s="3"/>
      <c r="D853" s="3"/>
      <c r="E853" s="3"/>
      <c r="F853" s="3"/>
      <c r="G853" s="3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4"/>
      <c r="S853" s="5"/>
      <c r="T853" s="3"/>
      <c r="U853" s="3"/>
    </row>
    <row r="854" ht="33.0" customHeight="1">
      <c r="A854" s="3"/>
      <c r="B854" s="3"/>
      <c r="C854" s="3"/>
      <c r="D854" s="3"/>
      <c r="E854" s="3"/>
      <c r="F854" s="3"/>
      <c r="G854" s="3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4"/>
      <c r="S854" s="5"/>
      <c r="T854" s="3"/>
      <c r="U854" s="3"/>
    </row>
    <row r="855" ht="33.0" customHeight="1">
      <c r="A855" s="3"/>
      <c r="B855" s="3"/>
      <c r="C855" s="3"/>
      <c r="D855" s="3"/>
      <c r="E855" s="3"/>
      <c r="F855" s="3"/>
      <c r="G855" s="3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4"/>
      <c r="S855" s="5"/>
      <c r="T855" s="3"/>
      <c r="U855" s="3"/>
    </row>
    <row r="856" ht="33.0" customHeight="1">
      <c r="A856" s="3"/>
      <c r="B856" s="3"/>
      <c r="C856" s="3"/>
      <c r="D856" s="3"/>
      <c r="E856" s="3"/>
      <c r="F856" s="3"/>
      <c r="G856" s="3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4"/>
      <c r="S856" s="5"/>
      <c r="T856" s="3"/>
      <c r="U856" s="3"/>
    </row>
    <row r="857" ht="33.0" customHeight="1">
      <c r="A857" s="3"/>
      <c r="B857" s="3"/>
      <c r="C857" s="3"/>
      <c r="D857" s="3"/>
      <c r="E857" s="3"/>
      <c r="F857" s="3"/>
      <c r="G857" s="3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4"/>
      <c r="S857" s="5"/>
      <c r="T857" s="3"/>
      <c r="U857" s="3"/>
    </row>
    <row r="858" ht="33.0" customHeight="1">
      <c r="A858" s="3"/>
      <c r="B858" s="3"/>
      <c r="C858" s="3"/>
      <c r="D858" s="3"/>
      <c r="E858" s="3"/>
      <c r="F858" s="3"/>
      <c r="G858" s="3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4"/>
      <c r="S858" s="5"/>
      <c r="T858" s="3"/>
      <c r="U858" s="3"/>
    </row>
    <row r="859" ht="33.0" customHeight="1">
      <c r="A859" s="3"/>
      <c r="B859" s="3"/>
      <c r="C859" s="3"/>
      <c r="D859" s="3"/>
      <c r="E859" s="3"/>
      <c r="F859" s="3"/>
      <c r="G859" s="3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4"/>
      <c r="S859" s="5"/>
      <c r="T859" s="3"/>
      <c r="U859" s="3"/>
    </row>
    <row r="860" ht="33.0" customHeight="1">
      <c r="A860" s="3"/>
      <c r="B860" s="3"/>
      <c r="C860" s="3"/>
      <c r="D860" s="3"/>
      <c r="E860" s="3"/>
      <c r="F860" s="3"/>
      <c r="G860" s="3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4"/>
      <c r="S860" s="5"/>
      <c r="T860" s="3"/>
      <c r="U860" s="3"/>
    </row>
    <row r="861" ht="33.0" customHeight="1">
      <c r="A861" s="3"/>
      <c r="B861" s="3"/>
      <c r="C861" s="3"/>
      <c r="D861" s="3"/>
      <c r="E861" s="3"/>
      <c r="F861" s="3"/>
      <c r="G861" s="3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4"/>
      <c r="S861" s="5"/>
      <c r="T861" s="3"/>
      <c r="U861" s="3"/>
    </row>
    <row r="862" ht="33.0" customHeight="1">
      <c r="A862" s="3"/>
      <c r="B862" s="3"/>
      <c r="C862" s="3"/>
      <c r="D862" s="3"/>
      <c r="E862" s="3"/>
      <c r="F862" s="3"/>
      <c r="G862" s="3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4"/>
      <c r="S862" s="5"/>
      <c r="T862" s="3"/>
      <c r="U862" s="3"/>
    </row>
    <row r="863" ht="33.0" customHeight="1">
      <c r="A863" s="3"/>
      <c r="B863" s="3"/>
      <c r="C863" s="3"/>
      <c r="D863" s="3"/>
      <c r="E863" s="3"/>
      <c r="F863" s="3"/>
      <c r="G863" s="3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4"/>
      <c r="S863" s="5"/>
      <c r="T863" s="3"/>
      <c r="U863" s="3"/>
    </row>
    <row r="864" ht="33.0" customHeight="1">
      <c r="A864" s="3"/>
      <c r="B864" s="3"/>
      <c r="C864" s="3"/>
      <c r="D864" s="3"/>
      <c r="E864" s="3"/>
      <c r="F864" s="3"/>
      <c r="G864" s="3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4"/>
      <c r="S864" s="5"/>
      <c r="T864" s="3"/>
      <c r="U864" s="3"/>
    </row>
    <row r="865" ht="33.0" customHeight="1">
      <c r="A865" s="3"/>
      <c r="B865" s="3"/>
      <c r="C865" s="3"/>
      <c r="D865" s="3"/>
      <c r="E865" s="3"/>
      <c r="F865" s="3"/>
      <c r="G865" s="3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4"/>
      <c r="S865" s="5"/>
      <c r="T865" s="3"/>
      <c r="U865" s="3"/>
    </row>
    <row r="866" ht="33.0" customHeight="1">
      <c r="A866" s="3"/>
      <c r="B866" s="3"/>
      <c r="C866" s="3"/>
      <c r="D866" s="3"/>
      <c r="E866" s="3"/>
      <c r="F866" s="3"/>
      <c r="G866" s="3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4"/>
      <c r="S866" s="5"/>
      <c r="T866" s="3"/>
      <c r="U866" s="3"/>
    </row>
    <row r="867" ht="33.0" customHeight="1">
      <c r="A867" s="3"/>
      <c r="B867" s="3"/>
      <c r="C867" s="3"/>
      <c r="D867" s="3"/>
      <c r="E867" s="3"/>
      <c r="F867" s="3"/>
      <c r="G867" s="3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4"/>
      <c r="S867" s="5"/>
      <c r="T867" s="3"/>
      <c r="U867" s="3"/>
    </row>
    <row r="868" ht="33.0" customHeight="1">
      <c r="A868" s="3"/>
      <c r="B868" s="3"/>
      <c r="C868" s="3"/>
      <c r="D868" s="3"/>
      <c r="E868" s="3"/>
      <c r="F868" s="3"/>
      <c r="G868" s="3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4"/>
      <c r="S868" s="5"/>
      <c r="T868" s="3"/>
      <c r="U868" s="3"/>
    </row>
    <row r="869" ht="33.0" customHeight="1">
      <c r="A869" s="3"/>
      <c r="B869" s="3"/>
      <c r="C869" s="3"/>
      <c r="D869" s="3"/>
      <c r="E869" s="3"/>
      <c r="F869" s="3"/>
      <c r="G869" s="3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4"/>
      <c r="S869" s="5"/>
      <c r="T869" s="3"/>
      <c r="U869" s="3"/>
    </row>
    <row r="870" ht="33.0" customHeight="1">
      <c r="A870" s="3"/>
      <c r="B870" s="3"/>
      <c r="C870" s="3"/>
      <c r="D870" s="3"/>
      <c r="E870" s="3"/>
      <c r="F870" s="3"/>
      <c r="G870" s="3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4"/>
      <c r="S870" s="5"/>
      <c r="T870" s="3"/>
      <c r="U870" s="3"/>
    </row>
    <row r="871" ht="33.0" customHeight="1">
      <c r="A871" s="3"/>
      <c r="B871" s="3"/>
      <c r="C871" s="3"/>
      <c r="D871" s="3"/>
      <c r="E871" s="3"/>
      <c r="F871" s="3"/>
      <c r="G871" s="3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4"/>
      <c r="S871" s="5"/>
      <c r="T871" s="3"/>
      <c r="U871" s="3"/>
    </row>
    <row r="872" ht="33.0" customHeight="1">
      <c r="A872" s="3"/>
      <c r="B872" s="3"/>
      <c r="C872" s="3"/>
      <c r="D872" s="3"/>
      <c r="E872" s="3"/>
      <c r="F872" s="3"/>
      <c r="G872" s="3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4"/>
      <c r="S872" s="5"/>
      <c r="T872" s="3"/>
      <c r="U872" s="3"/>
    </row>
    <row r="873" ht="33.0" customHeight="1">
      <c r="A873" s="3"/>
      <c r="B873" s="3"/>
      <c r="C873" s="3"/>
      <c r="D873" s="3"/>
      <c r="E873" s="3"/>
      <c r="F873" s="3"/>
      <c r="G873" s="3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4"/>
      <c r="S873" s="5"/>
      <c r="T873" s="3"/>
      <c r="U873" s="3"/>
    </row>
    <row r="874" ht="33.0" customHeight="1">
      <c r="A874" s="3"/>
      <c r="B874" s="3"/>
      <c r="C874" s="3"/>
      <c r="D874" s="3"/>
      <c r="E874" s="3"/>
      <c r="F874" s="3"/>
      <c r="G874" s="3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4"/>
      <c r="S874" s="5"/>
      <c r="T874" s="3"/>
      <c r="U874" s="3"/>
    </row>
    <row r="875" ht="33.0" customHeight="1">
      <c r="A875" s="3"/>
      <c r="B875" s="3"/>
      <c r="C875" s="3"/>
      <c r="D875" s="3"/>
      <c r="E875" s="3"/>
      <c r="F875" s="3"/>
      <c r="G875" s="3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4"/>
      <c r="S875" s="5"/>
      <c r="T875" s="3"/>
      <c r="U875" s="3"/>
    </row>
    <row r="876" ht="33.0" customHeight="1">
      <c r="A876" s="3"/>
      <c r="B876" s="3"/>
      <c r="C876" s="3"/>
      <c r="D876" s="3"/>
      <c r="E876" s="3"/>
      <c r="F876" s="3"/>
      <c r="G876" s="3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4"/>
      <c r="S876" s="5"/>
      <c r="T876" s="3"/>
      <c r="U876" s="3"/>
    </row>
    <row r="877" ht="33.0" customHeight="1">
      <c r="A877" s="3"/>
      <c r="B877" s="3"/>
      <c r="C877" s="3"/>
      <c r="D877" s="3"/>
      <c r="E877" s="3"/>
      <c r="F877" s="3"/>
      <c r="G877" s="3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4"/>
      <c r="S877" s="5"/>
      <c r="T877" s="3"/>
      <c r="U877" s="3"/>
    </row>
    <row r="878" ht="33.0" customHeight="1">
      <c r="A878" s="3"/>
      <c r="B878" s="3"/>
      <c r="C878" s="3"/>
      <c r="D878" s="3"/>
      <c r="E878" s="3"/>
      <c r="F878" s="3"/>
      <c r="G878" s="3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4"/>
      <c r="S878" s="5"/>
      <c r="T878" s="3"/>
      <c r="U878" s="3"/>
    </row>
    <row r="879" ht="33.0" customHeight="1">
      <c r="A879" s="3"/>
      <c r="B879" s="3"/>
      <c r="C879" s="3"/>
      <c r="D879" s="3"/>
      <c r="E879" s="3"/>
      <c r="F879" s="3"/>
      <c r="G879" s="3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4"/>
      <c r="S879" s="5"/>
      <c r="T879" s="3"/>
      <c r="U879" s="3"/>
    </row>
    <row r="880" ht="33.0" customHeight="1">
      <c r="A880" s="3"/>
      <c r="B880" s="3"/>
      <c r="C880" s="3"/>
      <c r="D880" s="3"/>
      <c r="E880" s="3"/>
      <c r="F880" s="3"/>
      <c r="G880" s="3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4"/>
      <c r="S880" s="5"/>
      <c r="T880" s="3"/>
      <c r="U880" s="3"/>
    </row>
    <row r="881" ht="33.0" customHeight="1">
      <c r="A881" s="3"/>
      <c r="B881" s="3"/>
      <c r="C881" s="3"/>
      <c r="D881" s="3"/>
      <c r="E881" s="3"/>
      <c r="F881" s="3"/>
      <c r="G881" s="3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4"/>
      <c r="S881" s="5"/>
      <c r="T881" s="3"/>
      <c r="U881" s="3"/>
    </row>
    <row r="882" ht="33.0" customHeight="1">
      <c r="A882" s="3"/>
      <c r="B882" s="3"/>
      <c r="C882" s="3"/>
      <c r="D882" s="3"/>
      <c r="E882" s="3"/>
      <c r="F882" s="3"/>
      <c r="G882" s="3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4"/>
      <c r="S882" s="5"/>
      <c r="T882" s="3"/>
      <c r="U882" s="3"/>
    </row>
    <row r="883" ht="33.0" customHeight="1">
      <c r="A883" s="3"/>
      <c r="B883" s="3"/>
      <c r="C883" s="3"/>
      <c r="D883" s="3"/>
      <c r="E883" s="3"/>
      <c r="F883" s="3"/>
      <c r="G883" s="3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4"/>
      <c r="S883" s="5"/>
      <c r="T883" s="3"/>
      <c r="U883" s="3"/>
    </row>
    <row r="884" ht="33.0" customHeight="1">
      <c r="A884" s="3"/>
      <c r="B884" s="3"/>
      <c r="C884" s="3"/>
      <c r="D884" s="3"/>
      <c r="E884" s="3"/>
      <c r="F884" s="3"/>
      <c r="G884" s="3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4"/>
      <c r="S884" s="5"/>
      <c r="T884" s="3"/>
      <c r="U884" s="3"/>
    </row>
    <row r="885" ht="33.0" customHeight="1">
      <c r="A885" s="3"/>
      <c r="B885" s="3"/>
      <c r="C885" s="3"/>
      <c r="D885" s="3"/>
      <c r="E885" s="3"/>
      <c r="F885" s="3"/>
      <c r="G885" s="3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4"/>
      <c r="S885" s="5"/>
      <c r="T885" s="3"/>
      <c r="U885" s="3"/>
    </row>
    <row r="886" ht="33.0" customHeight="1">
      <c r="A886" s="3"/>
      <c r="B886" s="3"/>
      <c r="C886" s="3"/>
      <c r="D886" s="3"/>
      <c r="E886" s="3"/>
      <c r="F886" s="3"/>
      <c r="G886" s="3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4"/>
      <c r="S886" s="5"/>
      <c r="T886" s="3"/>
      <c r="U886" s="3"/>
    </row>
    <row r="887" ht="33.0" customHeight="1">
      <c r="A887" s="3"/>
      <c r="B887" s="3"/>
      <c r="C887" s="3"/>
      <c r="D887" s="3"/>
      <c r="E887" s="3"/>
      <c r="F887" s="3"/>
      <c r="G887" s="3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4"/>
      <c r="S887" s="5"/>
      <c r="T887" s="3"/>
      <c r="U887" s="3"/>
    </row>
    <row r="888" ht="33.0" customHeight="1">
      <c r="A888" s="3"/>
      <c r="B888" s="3"/>
      <c r="C888" s="3"/>
      <c r="D888" s="3"/>
      <c r="E888" s="3"/>
      <c r="F888" s="3"/>
      <c r="G888" s="3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4"/>
      <c r="S888" s="5"/>
      <c r="T888" s="3"/>
      <c r="U888" s="3"/>
    </row>
    <row r="889" ht="33.0" customHeight="1">
      <c r="A889" s="3"/>
      <c r="B889" s="3"/>
      <c r="C889" s="3"/>
      <c r="D889" s="3"/>
      <c r="E889" s="3"/>
      <c r="F889" s="3"/>
      <c r="G889" s="3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4"/>
      <c r="S889" s="5"/>
      <c r="T889" s="3"/>
      <c r="U889" s="3"/>
    </row>
    <row r="890" ht="33.0" customHeight="1">
      <c r="A890" s="3"/>
      <c r="B890" s="3"/>
      <c r="C890" s="3"/>
      <c r="D890" s="3"/>
      <c r="E890" s="3"/>
      <c r="F890" s="3"/>
      <c r="G890" s="3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4"/>
      <c r="S890" s="5"/>
      <c r="T890" s="3"/>
      <c r="U890" s="3"/>
    </row>
    <row r="891" ht="33.0" customHeight="1">
      <c r="A891" s="3"/>
      <c r="B891" s="3"/>
      <c r="C891" s="3"/>
      <c r="D891" s="3"/>
      <c r="E891" s="3"/>
      <c r="F891" s="3"/>
      <c r="G891" s="3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4"/>
      <c r="S891" s="5"/>
      <c r="T891" s="3"/>
      <c r="U891" s="3"/>
    </row>
    <row r="892" ht="33.0" customHeight="1">
      <c r="A892" s="3"/>
      <c r="B892" s="3"/>
      <c r="C892" s="3"/>
      <c r="D892" s="3"/>
      <c r="E892" s="3"/>
      <c r="F892" s="3"/>
      <c r="G892" s="3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4"/>
      <c r="S892" s="5"/>
      <c r="T892" s="3"/>
      <c r="U892" s="3"/>
    </row>
    <row r="893" ht="33.0" customHeight="1">
      <c r="A893" s="3"/>
      <c r="B893" s="3"/>
      <c r="C893" s="3"/>
      <c r="D893" s="3"/>
      <c r="E893" s="3"/>
      <c r="F893" s="3"/>
      <c r="G893" s="3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4"/>
      <c r="S893" s="5"/>
      <c r="T893" s="3"/>
      <c r="U893" s="3"/>
    </row>
    <row r="894" ht="33.0" customHeight="1">
      <c r="A894" s="3"/>
      <c r="B894" s="3"/>
      <c r="C894" s="3"/>
      <c r="D894" s="3"/>
      <c r="E894" s="3"/>
      <c r="F894" s="3"/>
      <c r="G894" s="3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4"/>
      <c r="S894" s="5"/>
      <c r="T894" s="3"/>
      <c r="U894" s="3"/>
    </row>
    <row r="895" ht="33.0" customHeight="1">
      <c r="A895" s="3"/>
      <c r="B895" s="3"/>
      <c r="C895" s="3"/>
      <c r="D895" s="3"/>
      <c r="E895" s="3"/>
      <c r="F895" s="3"/>
      <c r="G895" s="3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4"/>
      <c r="S895" s="5"/>
      <c r="T895" s="3"/>
      <c r="U895" s="3"/>
    </row>
    <row r="896" ht="33.0" customHeight="1">
      <c r="A896" s="3"/>
      <c r="B896" s="3"/>
      <c r="C896" s="3"/>
      <c r="D896" s="3"/>
      <c r="E896" s="3"/>
      <c r="F896" s="3"/>
      <c r="G896" s="3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4"/>
      <c r="S896" s="5"/>
      <c r="T896" s="3"/>
      <c r="U896" s="3"/>
    </row>
    <row r="897" ht="33.0" customHeight="1">
      <c r="A897" s="3"/>
      <c r="B897" s="3"/>
      <c r="C897" s="3"/>
      <c r="D897" s="3"/>
      <c r="E897" s="3"/>
      <c r="F897" s="3"/>
      <c r="G897" s="3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4"/>
      <c r="S897" s="5"/>
      <c r="T897" s="3"/>
      <c r="U897" s="3"/>
    </row>
    <row r="898" ht="33.0" customHeight="1">
      <c r="A898" s="3"/>
      <c r="B898" s="3"/>
      <c r="C898" s="3"/>
      <c r="D898" s="3"/>
      <c r="E898" s="3"/>
      <c r="F898" s="3"/>
      <c r="G898" s="3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4"/>
      <c r="S898" s="5"/>
      <c r="T898" s="3"/>
      <c r="U898" s="3"/>
    </row>
    <row r="899" ht="33.0" customHeight="1">
      <c r="A899" s="3"/>
      <c r="B899" s="3"/>
      <c r="C899" s="3"/>
      <c r="D899" s="3"/>
      <c r="E899" s="3"/>
      <c r="F899" s="3"/>
      <c r="G899" s="3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4"/>
      <c r="S899" s="5"/>
      <c r="T899" s="3"/>
      <c r="U899" s="3"/>
    </row>
    <row r="900" ht="33.0" customHeight="1">
      <c r="A900" s="3"/>
      <c r="B900" s="3"/>
      <c r="C900" s="3"/>
      <c r="D900" s="3"/>
      <c r="E900" s="3"/>
      <c r="F900" s="3"/>
      <c r="G900" s="3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4"/>
      <c r="S900" s="5"/>
      <c r="T900" s="3"/>
      <c r="U900" s="3"/>
    </row>
    <row r="901" ht="33.0" customHeight="1">
      <c r="A901" s="3"/>
      <c r="B901" s="3"/>
      <c r="C901" s="3"/>
      <c r="D901" s="3"/>
      <c r="E901" s="3"/>
      <c r="F901" s="3"/>
      <c r="G901" s="3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4"/>
      <c r="S901" s="5"/>
      <c r="T901" s="3"/>
      <c r="U901" s="3"/>
    </row>
    <row r="902" ht="33.0" customHeight="1">
      <c r="A902" s="3"/>
      <c r="B902" s="3"/>
      <c r="C902" s="3"/>
      <c r="D902" s="3"/>
      <c r="E902" s="3"/>
      <c r="F902" s="3"/>
      <c r="G902" s="3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4"/>
      <c r="S902" s="5"/>
      <c r="T902" s="3"/>
      <c r="U902" s="3"/>
    </row>
    <row r="903" ht="33.0" customHeight="1">
      <c r="A903" s="3"/>
      <c r="B903" s="3"/>
      <c r="C903" s="3"/>
      <c r="D903" s="3"/>
      <c r="E903" s="3"/>
      <c r="F903" s="3"/>
      <c r="G903" s="3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4"/>
      <c r="S903" s="5"/>
      <c r="T903" s="3"/>
      <c r="U903" s="3"/>
    </row>
    <row r="904" ht="33.0" customHeight="1">
      <c r="A904" s="3"/>
      <c r="B904" s="3"/>
      <c r="C904" s="3"/>
      <c r="D904" s="3"/>
      <c r="E904" s="3"/>
      <c r="F904" s="3"/>
      <c r="G904" s="3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4"/>
      <c r="S904" s="5"/>
      <c r="T904" s="3"/>
      <c r="U904" s="3"/>
    </row>
    <row r="905" ht="33.0" customHeight="1">
      <c r="A905" s="3"/>
      <c r="B905" s="3"/>
      <c r="C905" s="3"/>
      <c r="D905" s="3"/>
      <c r="E905" s="3"/>
      <c r="F905" s="3"/>
      <c r="G905" s="3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4"/>
      <c r="S905" s="5"/>
      <c r="T905" s="3"/>
      <c r="U905" s="3"/>
    </row>
    <row r="906" ht="33.0" customHeight="1">
      <c r="A906" s="3"/>
      <c r="B906" s="3"/>
      <c r="C906" s="3"/>
      <c r="D906" s="3"/>
      <c r="E906" s="3"/>
      <c r="F906" s="3"/>
      <c r="G906" s="3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4"/>
      <c r="S906" s="5"/>
      <c r="T906" s="3"/>
      <c r="U906" s="3"/>
    </row>
    <row r="907" ht="33.0" customHeight="1">
      <c r="A907" s="3"/>
      <c r="B907" s="3"/>
      <c r="C907" s="3"/>
      <c r="D907" s="3"/>
      <c r="E907" s="3"/>
      <c r="F907" s="3"/>
      <c r="G907" s="3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4"/>
      <c r="S907" s="5"/>
      <c r="T907" s="3"/>
      <c r="U907" s="3"/>
    </row>
    <row r="908" ht="33.0" customHeight="1">
      <c r="A908" s="3"/>
      <c r="B908" s="3"/>
      <c r="C908" s="3"/>
      <c r="D908" s="3"/>
      <c r="E908" s="3"/>
      <c r="F908" s="3"/>
      <c r="G908" s="3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4"/>
      <c r="S908" s="5"/>
      <c r="T908" s="3"/>
      <c r="U908" s="3"/>
    </row>
    <row r="909" ht="33.0" customHeight="1">
      <c r="A909" s="3"/>
      <c r="B909" s="3"/>
      <c r="C909" s="3"/>
      <c r="D909" s="3"/>
      <c r="E909" s="3"/>
      <c r="F909" s="3"/>
      <c r="G909" s="3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4"/>
      <c r="S909" s="5"/>
      <c r="T909" s="3"/>
      <c r="U909" s="3"/>
    </row>
    <row r="910" ht="33.0" customHeight="1">
      <c r="A910" s="3"/>
      <c r="B910" s="3"/>
      <c r="C910" s="3"/>
      <c r="D910" s="3"/>
      <c r="E910" s="3"/>
      <c r="F910" s="3"/>
      <c r="G910" s="3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4"/>
      <c r="S910" s="5"/>
      <c r="T910" s="3"/>
      <c r="U910" s="3"/>
    </row>
    <row r="911" ht="33.0" customHeight="1">
      <c r="A911" s="3"/>
      <c r="B911" s="3"/>
      <c r="C911" s="3"/>
      <c r="D911" s="3"/>
      <c r="E911" s="3"/>
      <c r="F911" s="3"/>
      <c r="G911" s="3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4"/>
      <c r="S911" s="5"/>
      <c r="T911" s="3"/>
      <c r="U911" s="3"/>
    </row>
    <row r="912" ht="33.0" customHeight="1">
      <c r="A912" s="3"/>
      <c r="B912" s="3"/>
      <c r="C912" s="3"/>
      <c r="D912" s="3"/>
      <c r="E912" s="3"/>
      <c r="F912" s="3"/>
      <c r="G912" s="3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4"/>
      <c r="S912" s="5"/>
      <c r="T912" s="3"/>
      <c r="U912" s="3"/>
    </row>
    <row r="913" ht="33.0" customHeight="1">
      <c r="A913" s="3"/>
      <c r="B913" s="3"/>
      <c r="C913" s="3"/>
      <c r="D913" s="3"/>
      <c r="E913" s="3"/>
      <c r="F913" s="3"/>
      <c r="G913" s="3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4"/>
      <c r="S913" s="5"/>
      <c r="T913" s="3"/>
      <c r="U913" s="3"/>
    </row>
    <row r="914" ht="33.0" customHeight="1">
      <c r="A914" s="3"/>
      <c r="B914" s="3"/>
      <c r="C914" s="3"/>
      <c r="D914" s="3"/>
      <c r="E914" s="3"/>
      <c r="F914" s="3"/>
      <c r="G914" s="3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4"/>
      <c r="S914" s="5"/>
      <c r="T914" s="3"/>
      <c r="U914" s="3"/>
    </row>
    <row r="915" ht="33.0" customHeight="1">
      <c r="A915" s="3"/>
      <c r="B915" s="3"/>
      <c r="C915" s="3"/>
      <c r="D915" s="3"/>
      <c r="E915" s="3"/>
      <c r="F915" s="3"/>
      <c r="G915" s="3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4"/>
      <c r="S915" s="5"/>
      <c r="T915" s="3"/>
      <c r="U915" s="3"/>
    </row>
    <row r="916" ht="33.0" customHeight="1">
      <c r="A916" s="3"/>
      <c r="B916" s="3"/>
      <c r="C916" s="3"/>
      <c r="D916" s="3"/>
      <c r="E916" s="3"/>
      <c r="F916" s="3"/>
      <c r="G916" s="3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4"/>
      <c r="S916" s="5"/>
      <c r="T916" s="3"/>
      <c r="U916" s="3"/>
    </row>
    <row r="917" ht="33.0" customHeight="1">
      <c r="A917" s="3"/>
      <c r="B917" s="3"/>
      <c r="C917" s="3"/>
      <c r="D917" s="3"/>
      <c r="E917" s="3"/>
      <c r="F917" s="3"/>
      <c r="G917" s="3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4"/>
      <c r="S917" s="5"/>
      <c r="T917" s="3"/>
      <c r="U917" s="3"/>
    </row>
    <row r="918" ht="33.0" customHeight="1">
      <c r="A918" s="3"/>
      <c r="B918" s="3"/>
      <c r="C918" s="3"/>
      <c r="D918" s="3"/>
      <c r="E918" s="3"/>
      <c r="F918" s="3"/>
      <c r="G918" s="3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4"/>
      <c r="S918" s="5"/>
      <c r="T918" s="3"/>
      <c r="U918" s="3"/>
    </row>
    <row r="919" ht="33.0" customHeight="1">
      <c r="A919" s="3"/>
      <c r="B919" s="3"/>
      <c r="C919" s="3"/>
      <c r="D919" s="3"/>
      <c r="E919" s="3"/>
      <c r="F919" s="3"/>
      <c r="G919" s="3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4"/>
      <c r="S919" s="5"/>
      <c r="T919" s="3"/>
      <c r="U919" s="3"/>
    </row>
    <row r="920" ht="33.0" customHeight="1">
      <c r="A920" s="3"/>
      <c r="B920" s="3"/>
      <c r="C920" s="3"/>
      <c r="D920" s="3"/>
      <c r="E920" s="3"/>
      <c r="F920" s="3"/>
      <c r="G920" s="3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4"/>
      <c r="S920" s="5"/>
      <c r="T920" s="3"/>
      <c r="U920" s="3"/>
    </row>
    <row r="921" ht="33.0" customHeight="1">
      <c r="A921" s="3"/>
      <c r="B921" s="3"/>
      <c r="C921" s="3"/>
      <c r="D921" s="3"/>
      <c r="E921" s="3"/>
      <c r="F921" s="3"/>
      <c r="G921" s="3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4"/>
      <c r="S921" s="5"/>
      <c r="T921" s="3"/>
      <c r="U921" s="3"/>
    </row>
    <row r="922" ht="33.0" customHeight="1">
      <c r="A922" s="3"/>
      <c r="B922" s="3"/>
      <c r="C922" s="3"/>
      <c r="D922" s="3"/>
      <c r="E922" s="3"/>
      <c r="F922" s="3"/>
      <c r="G922" s="3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4"/>
      <c r="S922" s="5"/>
      <c r="T922" s="3"/>
      <c r="U922" s="3"/>
    </row>
    <row r="923" ht="33.0" customHeight="1">
      <c r="A923" s="3"/>
      <c r="B923" s="3"/>
      <c r="C923" s="3"/>
      <c r="D923" s="3"/>
      <c r="E923" s="3"/>
      <c r="F923" s="3"/>
      <c r="G923" s="3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4"/>
      <c r="S923" s="5"/>
      <c r="T923" s="3"/>
      <c r="U923" s="3"/>
    </row>
    <row r="924" ht="33.0" customHeight="1">
      <c r="A924" s="3"/>
      <c r="B924" s="3"/>
      <c r="C924" s="3"/>
      <c r="D924" s="3"/>
      <c r="E924" s="3"/>
      <c r="F924" s="3"/>
      <c r="G924" s="3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4"/>
      <c r="S924" s="5"/>
      <c r="T924" s="3"/>
      <c r="U924" s="3"/>
    </row>
    <row r="925" ht="33.0" customHeight="1">
      <c r="A925" s="3"/>
      <c r="B925" s="3"/>
      <c r="C925" s="3"/>
      <c r="D925" s="3"/>
      <c r="E925" s="3"/>
      <c r="F925" s="3"/>
      <c r="G925" s="3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4"/>
      <c r="S925" s="5"/>
      <c r="T925" s="3"/>
      <c r="U925" s="3"/>
    </row>
    <row r="926" ht="33.0" customHeight="1">
      <c r="A926" s="3"/>
      <c r="B926" s="3"/>
      <c r="C926" s="3"/>
      <c r="D926" s="3"/>
      <c r="E926" s="3"/>
      <c r="F926" s="3"/>
      <c r="G926" s="3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4"/>
      <c r="S926" s="5"/>
      <c r="T926" s="3"/>
      <c r="U926" s="3"/>
    </row>
    <row r="927" ht="33.0" customHeight="1">
      <c r="A927" s="3"/>
      <c r="B927" s="3"/>
      <c r="C927" s="3"/>
      <c r="D927" s="3"/>
      <c r="E927" s="3"/>
      <c r="F927" s="3"/>
      <c r="G927" s="3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4"/>
      <c r="S927" s="5"/>
      <c r="T927" s="3"/>
      <c r="U927" s="3"/>
    </row>
    <row r="928" ht="33.0" customHeight="1">
      <c r="A928" s="3"/>
      <c r="B928" s="3"/>
      <c r="C928" s="3"/>
      <c r="D928" s="3"/>
      <c r="E928" s="3"/>
      <c r="F928" s="3"/>
      <c r="G928" s="3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4"/>
      <c r="S928" s="5"/>
      <c r="T928" s="3"/>
      <c r="U928" s="3"/>
    </row>
    <row r="929" ht="33.0" customHeight="1">
      <c r="A929" s="3"/>
      <c r="B929" s="3"/>
      <c r="C929" s="3"/>
      <c r="D929" s="3"/>
      <c r="E929" s="3"/>
      <c r="F929" s="3"/>
      <c r="G929" s="3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4"/>
      <c r="S929" s="5"/>
      <c r="T929" s="3"/>
      <c r="U929" s="3"/>
    </row>
    <row r="930" ht="33.0" customHeight="1">
      <c r="A930" s="3"/>
      <c r="B930" s="3"/>
      <c r="C930" s="3"/>
      <c r="D930" s="3"/>
      <c r="E930" s="3"/>
      <c r="F930" s="3"/>
      <c r="G930" s="3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4"/>
      <c r="S930" s="5"/>
      <c r="T930" s="3"/>
      <c r="U930" s="3"/>
    </row>
    <row r="931" ht="33.0" customHeight="1">
      <c r="A931" s="3"/>
      <c r="B931" s="3"/>
      <c r="C931" s="3"/>
      <c r="D931" s="3"/>
      <c r="E931" s="3"/>
      <c r="F931" s="3"/>
      <c r="G931" s="3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4"/>
      <c r="S931" s="5"/>
      <c r="T931" s="3"/>
      <c r="U931" s="3"/>
    </row>
    <row r="932" ht="33.0" customHeight="1">
      <c r="A932" s="3"/>
      <c r="B932" s="3"/>
      <c r="C932" s="3"/>
      <c r="D932" s="3"/>
      <c r="E932" s="3"/>
      <c r="F932" s="3"/>
      <c r="G932" s="3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4"/>
      <c r="S932" s="5"/>
      <c r="T932" s="3"/>
      <c r="U932" s="3"/>
    </row>
    <row r="933" ht="33.0" customHeight="1">
      <c r="A933" s="3"/>
      <c r="B933" s="3"/>
      <c r="C933" s="3"/>
      <c r="D933" s="3"/>
      <c r="E933" s="3"/>
      <c r="F933" s="3"/>
      <c r="G933" s="3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4"/>
      <c r="S933" s="5"/>
      <c r="T933" s="3"/>
      <c r="U933" s="3"/>
    </row>
    <row r="934" ht="33.0" customHeight="1">
      <c r="A934" s="3"/>
      <c r="B934" s="3"/>
      <c r="C934" s="3"/>
      <c r="D934" s="3"/>
      <c r="E934" s="3"/>
      <c r="F934" s="3"/>
      <c r="G934" s="3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4"/>
      <c r="S934" s="5"/>
      <c r="T934" s="3"/>
      <c r="U934" s="3"/>
    </row>
    <row r="935" ht="33.0" customHeight="1">
      <c r="A935" s="3"/>
      <c r="B935" s="3"/>
      <c r="C935" s="3"/>
      <c r="D935" s="3"/>
      <c r="E935" s="3"/>
      <c r="F935" s="3"/>
      <c r="G935" s="3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4"/>
      <c r="S935" s="5"/>
      <c r="T935" s="3"/>
      <c r="U935" s="3"/>
    </row>
    <row r="936" ht="33.0" customHeight="1">
      <c r="A936" s="3"/>
      <c r="B936" s="3"/>
      <c r="C936" s="3"/>
      <c r="D936" s="3"/>
      <c r="E936" s="3"/>
      <c r="F936" s="3"/>
      <c r="G936" s="3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4"/>
      <c r="S936" s="5"/>
      <c r="T936" s="3"/>
      <c r="U936" s="3"/>
    </row>
    <row r="937" ht="33.0" customHeight="1">
      <c r="A937" s="3"/>
      <c r="B937" s="3"/>
      <c r="C937" s="3"/>
      <c r="D937" s="3"/>
      <c r="E937" s="3"/>
      <c r="F937" s="3"/>
      <c r="G937" s="3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4"/>
      <c r="S937" s="5"/>
      <c r="T937" s="3"/>
      <c r="U937" s="3"/>
    </row>
    <row r="938" ht="33.0" customHeight="1">
      <c r="A938" s="3"/>
      <c r="B938" s="3"/>
      <c r="C938" s="3"/>
      <c r="D938" s="3"/>
      <c r="E938" s="3"/>
      <c r="F938" s="3"/>
      <c r="G938" s="3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4"/>
      <c r="S938" s="5"/>
      <c r="T938" s="3"/>
      <c r="U938" s="3"/>
    </row>
    <row r="939" ht="33.0" customHeight="1">
      <c r="A939" s="3"/>
      <c r="B939" s="3"/>
      <c r="C939" s="3"/>
      <c r="D939" s="3"/>
      <c r="E939" s="3"/>
      <c r="F939" s="3"/>
      <c r="G939" s="3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4"/>
      <c r="S939" s="5"/>
      <c r="T939" s="3"/>
      <c r="U939" s="3"/>
    </row>
    <row r="940" ht="33.0" customHeight="1">
      <c r="A940" s="3"/>
      <c r="B940" s="3"/>
      <c r="C940" s="3"/>
      <c r="D940" s="3"/>
      <c r="E940" s="3"/>
      <c r="F940" s="3"/>
      <c r="G940" s="3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4"/>
      <c r="S940" s="5"/>
      <c r="T940" s="3"/>
      <c r="U940" s="3"/>
    </row>
    <row r="941" ht="33.0" customHeight="1">
      <c r="A941" s="3"/>
      <c r="B941" s="3"/>
      <c r="C941" s="3"/>
      <c r="D941" s="3"/>
      <c r="E941" s="3"/>
      <c r="F941" s="3"/>
      <c r="G941" s="3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4"/>
      <c r="S941" s="5"/>
      <c r="T941" s="3"/>
      <c r="U941" s="3"/>
    </row>
    <row r="942" ht="33.0" customHeight="1">
      <c r="A942" s="3"/>
      <c r="B942" s="3"/>
      <c r="C942" s="3"/>
      <c r="D942" s="3"/>
      <c r="E942" s="3"/>
      <c r="F942" s="3"/>
      <c r="G942" s="3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4"/>
      <c r="S942" s="5"/>
      <c r="T942" s="3"/>
      <c r="U942" s="3"/>
    </row>
    <row r="943" ht="33.0" customHeight="1">
      <c r="A943" s="3"/>
      <c r="B943" s="3"/>
      <c r="C943" s="3"/>
      <c r="D943" s="3"/>
      <c r="E943" s="3"/>
      <c r="F943" s="3"/>
      <c r="G943" s="3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4"/>
      <c r="S943" s="5"/>
      <c r="T943" s="3"/>
      <c r="U943" s="3"/>
    </row>
    <row r="944" ht="33.0" customHeight="1">
      <c r="A944" s="3"/>
      <c r="B944" s="3"/>
      <c r="C944" s="3"/>
      <c r="D944" s="3"/>
      <c r="E944" s="3"/>
      <c r="F944" s="3"/>
      <c r="G944" s="3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4"/>
      <c r="S944" s="5"/>
      <c r="T944" s="3"/>
      <c r="U944" s="3"/>
    </row>
    <row r="945" ht="33.0" customHeight="1">
      <c r="A945" s="3"/>
      <c r="B945" s="3"/>
      <c r="C945" s="3"/>
      <c r="D945" s="3"/>
      <c r="E945" s="3"/>
      <c r="F945" s="3"/>
      <c r="G945" s="3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4"/>
      <c r="S945" s="5"/>
      <c r="T945" s="3"/>
      <c r="U945" s="3"/>
    </row>
    <row r="946" ht="33.0" customHeight="1">
      <c r="A946" s="3"/>
      <c r="B946" s="3"/>
      <c r="C946" s="3"/>
      <c r="D946" s="3"/>
      <c r="E946" s="3"/>
      <c r="F946" s="3"/>
      <c r="G946" s="3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4"/>
      <c r="S946" s="5"/>
      <c r="T946" s="3"/>
      <c r="U946" s="3"/>
    </row>
    <row r="947" ht="33.0" customHeight="1">
      <c r="A947" s="3"/>
      <c r="B947" s="3"/>
      <c r="C947" s="3"/>
      <c r="D947" s="3"/>
      <c r="E947" s="3"/>
      <c r="F947" s="3"/>
      <c r="G947" s="3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4"/>
      <c r="S947" s="5"/>
      <c r="T947" s="3"/>
      <c r="U947" s="3"/>
    </row>
    <row r="948" ht="33.0" customHeight="1">
      <c r="A948" s="3"/>
      <c r="B948" s="3"/>
      <c r="C948" s="3"/>
      <c r="D948" s="3"/>
      <c r="E948" s="3"/>
      <c r="F948" s="3"/>
      <c r="G948" s="3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4"/>
      <c r="S948" s="5"/>
      <c r="T948" s="3"/>
      <c r="U948" s="3"/>
    </row>
    <row r="949" ht="33.0" customHeight="1">
      <c r="A949" s="3"/>
      <c r="B949" s="3"/>
      <c r="C949" s="3"/>
      <c r="D949" s="3"/>
      <c r="E949" s="3"/>
      <c r="F949" s="3"/>
      <c r="G949" s="3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4"/>
      <c r="S949" s="5"/>
      <c r="T949" s="3"/>
      <c r="U949" s="3"/>
    </row>
    <row r="950" ht="33.0" customHeight="1">
      <c r="A950" s="3"/>
      <c r="B950" s="3"/>
      <c r="C950" s="3"/>
      <c r="D950" s="3"/>
      <c r="E950" s="3"/>
      <c r="F950" s="3"/>
      <c r="G950" s="3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4"/>
      <c r="S950" s="5"/>
      <c r="T950" s="3"/>
      <c r="U950" s="3"/>
    </row>
    <row r="951" ht="33.0" customHeight="1">
      <c r="A951" s="3"/>
      <c r="B951" s="3"/>
      <c r="C951" s="3"/>
      <c r="D951" s="3"/>
      <c r="E951" s="3"/>
      <c r="F951" s="3"/>
      <c r="G951" s="3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4"/>
      <c r="S951" s="5"/>
      <c r="T951" s="3"/>
      <c r="U951" s="3"/>
    </row>
    <row r="952" ht="33.0" customHeight="1">
      <c r="A952" s="3"/>
      <c r="B952" s="3"/>
      <c r="C952" s="3"/>
      <c r="D952" s="3"/>
      <c r="E952" s="3"/>
      <c r="F952" s="3"/>
      <c r="G952" s="3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4"/>
      <c r="S952" s="5"/>
      <c r="T952" s="3"/>
      <c r="U952" s="3"/>
    </row>
    <row r="953" ht="33.0" customHeight="1">
      <c r="A953" s="3"/>
      <c r="B953" s="3"/>
      <c r="C953" s="3"/>
      <c r="D953" s="3"/>
      <c r="E953" s="3"/>
      <c r="F953" s="3"/>
      <c r="G953" s="3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4"/>
      <c r="S953" s="5"/>
      <c r="T953" s="3"/>
      <c r="U953" s="3"/>
    </row>
    <row r="954" ht="33.0" customHeight="1">
      <c r="A954" s="3"/>
      <c r="B954" s="3"/>
      <c r="C954" s="3"/>
      <c r="D954" s="3"/>
      <c r="E954" s="3"/>
      <c r="F954" s="3"/>
      <c r="G954" s="3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4"/>
      <c r="S954" s="5"/>
      <c r="T954" s="3"/>
      <c r="U954" s="3"/>
    </row>
    <row r="955" ht="33.0" customHeight="1">
      <c r="A955" s="3"/>
      <c r="B955" s="3"/>
      <c r="C955" s="3"/>
      <c r="D955" s="3"/>
      <c r="E955" s="3"/>
      <c r="F955" s="3"/>
      <c r="G955" s="3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4"/>
      <c r="S955" s="5"/>
      <c r="T955" s="3"/>
      <c r="U955" s="3"/>
    </row>
    <row r="956" ht="33.0" customHeight="1">
      <c r="A956" s="3"/>
      <c r="B956" s="3"/>
      <c r="C956" s="3"/>
      <c r="D956" s="3"/>
      <c r="E956" s="3"/>
      <c r="F956" s="3"/>
      <c r="G956" s="3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4"/>
      <c r="S956" s="5"/>
      <c r="T956" s="3"/>
      <c r="U956" s="3"/>
    </row>
    <row r="957" ht="33.0" customHeight="1">
      <c r="A957" s="3"/>
      <c r="B957" s="3"/>
      <c r="C957" s="3"/>
      <c r="D957" s="3"/>
      <c r="E957" s="3"/>
      <c r="F957" s="3"/>
      <c r="G957" s="3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4"/>
      <c r="S957" s="5"/>
      <c r="T957" s="3"/>
      <c r="U957" s="3"/>
    </row>
    <row r="958" ht="33.0" customHeight="1">
      <c r="A958" s="3"/>
      <c r="B958" s="3"/>
      <c r="C958" s="3"/>
      <c r="D958" s="3"/>
      <c r="E958" s="3"/>
      <c r="F958" s="3"/>
      <c r="G958" s="3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4"/>
      <c r="S958" s="5"/>
      <c r="T958" s="3"/>
      <c r="U958" s="3"/>
    </row>
    <row r="959" ht="33.0" customHeight="1">
      <c r="A959" s="3"/>
      <c r="B959" s="3"/>
      <c r="C959" s="3"/>
      <c r="D959" s="3"/>
      <c r="E959" s="3"/>
      <c r="F959" s="3"/>
      <c r="G959" s="3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4"/>
      <c r="S959" s="5"/>
      <c r="T959" s="3"/>
      <c r="U959" s="3"/>
    </row>
    <row r="960" ht="33.0" customHeight="1">
      <c r="A960" s="3"/>
      <c r="B960" s="3"/>
      <c r="C960" s="3"/>
      <c r="D960" s="3"/>
      <c r="E960" s="3"/>
      <c r="F960" s="3"/>
      <c r="G960" s="3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4"/>
      <c r="S960" s="5"/>
      <c r="T960" s="3"/>
      <c r="U960" s="3"/>
    </row>
    <row r="961" ht="33.0" customHeight="1">
      <c r="A961" s="3"/>
      <c r="B961" s="3"/>
      <c r="C961" s="3"/>
      <c r="D961" s="3"/>
      <c r="E961" s="3"/>
      <c r="F961" s="3"/>
      <c r="G961" s="3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4"/>
      <c r="S961" s="5"/>
      <c r="T961" s="3"/>
      <c r="U961" s="3"/>
    </row>
    <row r="962" ht="33.0" customHeight="1">
      <c r="A962" s="3"/>
      <c r="B962" s="3"/>
      <c r="C962" s="3"/>
      <c r="D962" s="3"/>
      <c r="E962" s="3"/>
      <c r="F962" s="3"/>
      <c r="G962" s="3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4"/>
      <c r="S962" s="5"/>
      <c r="T962" s="3"/>
      <c r="U962" s="3"/>
    </row>
    <row r="963" ht="33.0" customHeight="1">
      <c r="A963" s="3"/>
      <c r="B963" s="3"/>
      <c r="C963" s="3"/>
      <c r="D963" s="3"/>
      <c r="E963" s="3"/>
      <c r="F963" s="3"/>
      <c r="G963" s="3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4"/>
      <c r="S963" s="5"/>
      <c r="T963" s="3"/>
      <c r="U963" s="3"/>
    </row>
    <row r="964" ht="33.0" customHeight="1">
      <c r="A964" s="3"/>
      <c r="B964" s="3"/>
      <c r="C964" s="3"/>
      <c r="D964" s="3"/>
      <c r="E964" s="3"/>
      <c r="F964" s="3"/>
      <c r="G964" s="3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4"/>
      <c r="S964" s="5"/>
      <c r="T964" s="3"/>
      <c r="U964" s="3"/>
    </row>
    <row r="965" ht="33.0" customHeight="1">
      <c r="A965" s="3"/>
      <c r="B965" s="3"/>
      <c r="C965" s="3"/>
      <c r="D965" s="3"/>
      <c r="E965" s="3"/>
      <c r="F965" s="3"/>
      <c r="G965" s="3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4"/>
      <c r="S965" s="5"/>
      <c r="T965" s="3"/>
      <c r="U965" s="3"/>
    </row>
    <row r="966" ht="33.0" customHeight="1">
      <c r="A966" s="3"/>
      <c r="B966" s="3"/>
      <c r="C966" s="3"/>
      <c r="D966" s="3"/>
      <c r="E966" s="3"/>
      <c r="F966" s="3"/>
      <c r="G966" s="3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4"/>
      <c r="S966" s="5"/>
      <c r="T966" s="3"/>
      <c r="U966" s="3"/>
    </row>
    <row r="967" ht="33.0" customHeight="1">
      <c r="A967" s="3"/>
      <c r="B967" s="3"/>
      <c r="C967" s="3"/>
      <c r="D967" s="3"/>
      <c r="E967" s="3"/>
      <c r="F967" s="3"/>
      <c r="G967" s="3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4"/>
      <c r="S967" s="5"/>
      <c r="T967" s="3"/>
      <c r="U967" s="3"/>
    </row>
    <row r="968" ht="33.0" customHeight="1">
      <c r="A968" s="3"/>
      <c r="B968" s="3"/>
      <c r="C968" s="3"/>
      <c r="D968" s="3"/>
      <c r="E968" s="3"/>
      <c r="F968" s="3"/>
      <c r="G968" s="3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4"/>
      <c r="S968" s="5"/>
      <c r="T968" s="3"/>
      <c r="U968" s="3"/>
    </row>
    <row r="969" ht="33.0" customHeight="1">
      <c r="A969" s="3"/>
      <c r="B969" s="3"/>
      <c r="C969" s="3"/>
      <c r="D969" s="3"/>
      <c r="E969" s="3"/>
      <c r="F969" s="3"/>
      <c r="G969" s="3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4"/>
      <c r="S969" s="5"/>
      <c r="T969" s="3"/>
      <c r="U969" s="3"/>
    </row>
    <row r="970" ht="33.0" customHeight="1">
      <c r="A970" s="3"/>
      <c r="B970" s="3"/>
      <c r="C970" s="3"/>
      <c r="D970" s="3"/>
      <c r="E970" s="3"/>
      <c r="F970" s="3"/>
      <c r="G970" s="3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4"/>
      <c r="S970" s="5"/>
      <c r="T970" s="3"/>
      <c r="U970" s="3"/>
    </row>
    <row r="971" ht="33.0" customHeight="1">
      <c r="A971" s="3"/>
      <c r="B971" s="3"/>
      <c r="C971" s="3"/>
      <c r="D971" s="3"/>
      <c r="E971" s="3"/>
      <c r="F971" s="3"/>
      <c r="G971" s="3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4"/>
      <c r="S971" s="5"/>
      <c r="T971" s="3"/>
      <c r="U971" s="3"/>
    </row>
    <row r="972" ht="33.0" customHeight="1">
      <c r="A972" s="3"/>
      <c r="B972" s="3"/>
      <c r="C972" s="3"/>
      <c r="D972" s="3"/>
      <c r="E972" s="3"/>
      <c r="F972" s="3"/>
      <c r="G972" s="3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4"/>
      <c r="S972" s="5"/>
      <c r="T972" s="3"/>
      <c r="U972" s="3"/>
    </row>
    <row r="973" ht="33.0" customHeight="1">
      <c r="A973" s="3"/>
      <c r="B973" s="3"/>
      <c r="C973" s="3"/>
      <c r="D973" s="3"/>
      <c r="E973" s="3"/>
      <c r="F973" s="3"/>
      <c r="G973" s="3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4"/>
      <c r="S973" s="5"/>
      <c r="T973" s="3"/>
      <c r="U973" s="3"/>
    </row>
    <row r="974" ht="33.0" customHeight="1">
      <c r="A974" s="3"/>
      <c r="B974" s="3"/>
      <c r="C974" s="3"/>
      <c r="D974" s="3"/>
      <c r="E974" s="3"/>
      <c r="F974" s="3"/>
      <c r="G974" s="3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4"/>
      <c r="S974" s="5"/>
      <c r="T974" s="3"/>
      <c r="U974" s="3"/>
    </row>
    <row r="975" ht="33.0" customHeight="1">
      <c r="A975" s="3"/>
      <c r="B975" s="3"/>
      <c r="C975" s="3"/>
      <c r="D975" s="3"/>
      <c r="E975" s="3"/>
      <c r="F975" s="3"/>
      <c r="G975" s="3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4"/>
      <c r="S975" s="5"/>
      <c r="T975" s="3"/>
      <c r="U975" s="3"/>
    </row>
    <row r="976" ht="33.0" customHeight="1">
      <c r="A976" s="3"/>
      <c r="B976" s="3"/>
      <c r="C976" s="3"/>
      <c r="D976" s="3"/>
      <c r="E976" s="3"/>
      <c r="F976" s="3"/>
      <c r="G976" s="3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4"/>
      <c r="S976" s="5"/>
      <c r="T976" s="3"/>
      <c r="U976" s="3"/>
    </row>
    <row r="977" ht="33.0" customHeight="1">
      <c r="A977" s="3"/>
      <c r="B977" s="3"/>
      <c r="C977" s="3"/>
      <c r="D977" s="3"/>
      <c r="E977" s="3"/>
      <c r="F977" s="3"/>
      <c r="G977" s="3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4"/>
      <c r="S977" s="5"/>
      <c r="T977" s="3"/>
      <c r="U977" s="3"/>
    </row>
    <row r="978" ht="33.0" customHeight="1">
      <c r="A978" s="3"/>
      <c r="B978" s="3"/>
      <c r="C978" s="3"/>
      <c r="D978" s="3"/>
      <c r="E978" s="3"/>
      <c r="F978" s="3"/>
      <c r="G978" s="3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4"/>
      <c r="S978" s="5"/>
      <c r="T978" s="3"/>
      <c r="U978" s="3"/>
    </row>
    <row r="979" ht="33.0" customHeight="1">
      <c r="A979" s="3"/>
      <c r="B979" s="3"/>
      <c r="C979" s="3"/>
      <c r="D979" s="3"/>
      <c r="E979" s="3"/>
      <c r="F979" s="3"/>
      <c r="G979" s="3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4"/>
      <c r="S979" s="5"/>
      <c r="T979" s="3"/>
      <c r="U979" s="3"/>
    </row>
    <row r="980" ht="33.0" customHeight="1">
      <c r="A980" s="3"/>
      <c r="B980" s="3"/>
      <c r="C980" s="3"/>
      <c r="D980" s="3"/>
      <c r="E980" s="3"/>
      <c r="F980" s="3"/>
      <c r="G980" s="3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4"/>
      <c r="S980" s="5"/>
      <c r="T980" s="3"/>
      <c r="U980" s="3"/>
    </row>
    <row r="981" ht="33.0" customHeight="1">
      <c r="A981" s="3"/>
      <c r="B981" s="3"/>
      <c r="C981" s="3"/>
      <c r="D981" s="3"/>
      <c r="E981" s="3"/>
      <c r="F981" s="3"/>
      <c r="G981" s="3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4"/>
      <c r="S981" s="5"/>
      <c r="T981" s="3"/>
      <c r="U981" s="3"/>
    </row>
    <row r="982" ht="33.0" customHeight="1">
      <c r="A982" s="3"/>
      <c r="B982" s="3"/>
      <c r="C982" s="3"/>
      <c r="D982" s="3"/>
      <c r="E982" s="3"/>
      <c r="F982" s="3"/>
      <c r="G982" s="3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4"/>
      <c r="S982" s="5"/>
      <c r="T982" s="3"/>
      <c r="U982" s="3"/>
    </row>
    <row r="983" ht="33.0" customHeight="1">
      <c r="A983" s="3"/>
      <c r="B983" s="3"/>
      <c r="C983" s="3"/>
      <c r="D983" s="3"/>
      <c r="E983" s="3"/>
      <c r="F983" s="3"/>
      <c r="G983" s="3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4"/>
      <c r="S983" s="5"/>
      <c r="T983" s="3"/>
      <c r="U983" s="3"/>
    </row>
    <row r="984" ht="33.0" customHeight="1">
      <c r="A984" s="3"/>
      <c r="B984" s="3"/>
      <c r="C984" s="3"/>
      <c r="D984" s="3"/>
      <c r="E984" s="3"/>
      <c r="F984" s="3"/>
      <c r="G984" s="3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4"/>
      <c r="S984" s="5"/>
      <c r="T984" s="3"/>
      <c r="U984" s="3"/>
    </row>
    <row r="985" ht="33.0" customHeight="1">
      <c r="A985" s="3"/>
      <c r="B985" s="3"/>
      <c r="C985" s="3"/>
      <c r="D985" s="3"/>
      <c r="E985" s="3"/>
      <c r="F985" s="3"/>
      <c r="G985" s="3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4"/>
      <c r="S985" s="5"/>
      <c r="T985" s="3"/>
      <c r="U985" s="3"/>
    </row>
    <row r="986" ht="33.0" customHeight="1">
      <c r="A986" s="3"/>
      <c r="B986" s="3"/>
      <c r="C986" s="3"/>
      <c r="D986" s="3"/>
      <c r="E986" s="3"/>
      <c r="F986" s="3"/>
      <c r="G986" s="3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4"/>
      <c r="S986" s="5"/>
      <c r="T986" s="3"/>
      <c r="U986" s="3"/>
    </row>
    <row r="987" ht="33.0" customHeight="1">
      <c r="A987" s="3"/>
      <c r="B987" s="3"/>
      <c r="C987" s="3"/>
      <c r="D987" s="3"/>
      <c r="E987" s="3"/>
      <c r="F987" s="3"/>
      <c r="G987" s="3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4"/>
      <c r="S987" s="5"/>
      <c r="T987" s="3"/>
      <c r="U987" s="3"/>
    </row>
    <row r="988" ht="33.0" customHeight="1">
      <c r="A988" s="3"/>
      <c r="B988" s="3"/>
      <c r="C988" s="3"/>
      <c r="D988" s="3"/>
      <c r="E988" s="3"/>
      <c r="F988" s="3"/>
      <c r="G988" s="3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4"/>
      <c r="S988" s="5"/>
      <c r="T988" s="3"/>
      <c r="U988" s="3"/>
    </row>
    <row r="989" ht="33.0" customHeight="1">
      <c r="A989" s="3"/>
      <c r="B989" s="3"/>
      <c r="C989" s="3"/>
      <c r="D989" s="3"/>
      <c r="E989" s="3"/>
      <c r="F989" s="3"/>
      <c r="G989" s="3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4"/>
      <c r="S989" s="5"/>
      <c r="T989" s="3"/>
      <c r="U989" s="3"/>
    </row>
    <row r="990" ht="33.0" customHeight="1">
      <c r="A990" s="3"/>
      <c r="B990" s="3"/>
      <c r="C990" s="3"/>
      <c r="D990" s="3"/>
      <c r="E990" s="3"/>
      <c r="F990" s="3"/>
      <c r="G990" s="3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4"/>
      <c r="S990" s="5"/>
      <c r="T990" s="3"/>
      <c r="U990" s="3"/>
    </row>
    <row r="991" ht="33.0" customHeight="1">
      <c r="A991" s="3"/>
      <c r="B991" s="3"/>
      <c r="C991" s="3"/>
      <c r="D991" s="3"/>
      <c r="E991" s="3"/>
      <c r="F991" s="3"/>
      <c r="G991" s="3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4"/>
      <c r="S991" s="5"/>
      <c r="T991" s="3"/>
      <c r="U991" s="3"/>
    </row>
    <row r="992" ht="33.0" customHeight="1">
      <c r="A992" s="3"/>
      <c r="B992" s="3"/>
      <c r="C992" s="3"/>
      <c r="D992" s="3"/>
      <c r="E992" s="3"/>
      <c r="F992" s="3"/>
      <c r="G992" s="3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4"/>
      <c r="S992" s="5"/>
      <c r="T992" s="3"/>
      <c r="U992" s="3"/>
    </row>
    <row r="993" ht="33.0" customHeight="1">
      <c r="A993" s="3"/>
      <c r="B993" s="3"/>
      <c r="C993" s="3"/>
      <c r="D993" s="3"/>
      <c r="E993" s="3"/>
      <c r="F993" s="3"/>
      <c r="G993" s="3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4"/>
      <c r="S993" s="5"/>
      <c r="T993" s="3"/>
      <c r="U993" s="3"/>
    </row>
    <row r="994" ht="33.0" customHeight="1">
      <c r="A994" s="3"/>
      <c r="B994" s="3"/>
      <c r="C994" s="3"/>
      <c r="D994" s="3"/>
      <c r="E994" s="3"/>
      <c r="F994" s="3"/>
      <c r="G994" s="3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4"/>
      <c r="S994" s="5"/>
      <c r="T994" s="3"/>
      <c r="U994" s="3"/>
    </row>
    <row r="995" ht="33.0" customHeight="1">
      <c r="A995" s="3"/>
      <c r="B995" s="3"/>
      <c r="C995" s="3"/>
      <c r="D995" s="3"/>
      <c r="E995" s="3"/>
      <c r="F995" s="3"/>
      <c r="G995" s="3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4"/>
      <c r="S995" s="5"/>
      <c r="T995" s="3"/>
      <c r="U995" s="3"/>
    </row>
    <row r="996" ht="33.0" customHeight="1">
      <c r="A996" s="3"/>
      <c r="B996" s="3"/>
      <c r="C996" s="3"/>
      <c r="D996" s="3"/>
      <c r="E996" s="3"/>
      <c r="F996" s="3"/>
      <c r="G996" s="3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4"/>
      <c r="S996" s="5"/>
      <c r="T996" s="3"/>
      <c r="U996" s="3"/>
    </row>
  </sheetData>
  <mergeCells count="25">
    <mergeCell ref="O2:Q2"/>
    <mergeCell ref="R4:R5"/>
    <mergeCell ref="S4:S5"/>
    <mergeCell ref="C2:G2"/>
    <mergeCell ref="I2:K2"/>
    <mergeCell ref="L2:N2"/>
    <mergeCell ref="C4:C5"/>
    <mergeCell ref="D4:D5"/>
    <mergeCell ref="E4:E5"/>
    <mergeCell ref="H4:H5"/>
    <mergeCell ref="D14:D21"/>
    <mergeCell ref="E14:E21"/>
    <mergeCell ref="C22:C27"/>
    <mergeCell ref="D22:D23"/>
    <mergeCell ref="E22:E23"/>
    <mergeCell ref="D25:D27"/>
    <mergeCell ref="E25:E27"/>
    <mergeCell ref="E28:E31"/>
    <mergeCell ref="F4:F5"/>
    <mergeCell ref="G4:G5"/>
    <mergeCell ref="C6:C21"/>
    <mergeCell ref="D7:D8"/>
    <mergeCell ref="E7:E8"/>
    <mergeCell ref="D12:D13"/>
    <mergeCell ref="E12:E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7.63"/>
    <col customWidth="1" min="3" max="3" width="4.63"/>
    <col customWidth="1" min="4" max="4" width="17.25"/>
    <col customWidth="1" min="5" max="5" width="30.88"/>
    <col customWidth="1" min="6" max="6" width="6.25"/>
    <col customWidth="1" min="7" max="7" width="5.88"/>
    <col customWidth="1" min="8" max="8" width="44.5"/>
    <col customWidth="1" min="9" max="9" width="47.0"/>
    <col customWidth="1" min="10" max="26" width="9.75"/>
  </cols>
  <sheetData>
    <row r="1">
      <c r="A1" s="64"/>
      <c r="B1" s="64"/>
      <c r="C1" s="65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4"/>
      <c r="B2" s="64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26.25" customHeight="1">
      <c r="A3" s="64"/>
      <c r="B3" s="66" t="s">
        <v>21</v>
      </c>
      <c r="C3" s="67" t="s">
        <v>99</v>
      </c>
      <c r="D3" s="68" t="s">
        <v>100</v>
      </c>
      <c r="E3" s="68" t="s">
        <v>101</v>
      </c>
      <c r="F3" s="68" t="s">
        <v>102</v>
      </c>
      <c r="G3" s="68" t="s">
        <v>103</v>
      </c>
      <c r="H3" s="68" t="s">
        <v>104</v>
      </c>
      <c r="I3" s="68" t="s">
        <v>105</v>
      </c>
      <c r="J3" s="69" t="s">
        <v>106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4"/>
      <c r="B4" s="70"/>
      <c r="C4" s="71" t="s">
        <v>22</v>
      </c>
      <c r="D4" s="72" t="s">
        <v>107</v>
      </c>
      <c r="E4" s="73" t="s">
        <v>108</v>
      </c>
      <c r="F4" s="72">
        <v>6.0</v>
      </c>
      <c r="G4" s="72">
        <v>-6.0</v>
      </c>
      <c r="H4" s="73" t="s">
        <v>109</v>
      </c>
      <c r="I4" s="73" t="s">
        <v>110</v>
      </c>
      <c r="J4" s="73" t="s">
        <v>12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4"/>
      <c r="B5" s="70"/>
      <c r="C5" s="70"/>
      <c r="H5" s="73" t="s">
        <v>111</v>
      </c>
      <c r="I5" s="73" t="s">
        <v>112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4"/>
      <c r="B6" s="70"/>
      <c r="C6" s="70"/>
      <c r="G6" s="72">
        <v>0.0</v>
      </c>
      <c r="H6" s="73" t="s">
        <v>113</v>
      </c>
      <c r="I6" s="73" t="s">
        <v>114</v>
      </c>
      <c r="J6" s="73" t="s">
        <v>12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84.75" customHeight="1">
      <c r="A7" s="64"/>
      <c r="B7" s="70"/>
      <c r="C7" s="74"/>
      <c r="H7" s="73" t="s">
        <v>115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4"/>
      <c r="B8" s="70"/>
      <c r="C8" s="75"/>
      <c r="D8" s="76" t="s">
        <v>116</v>
      </c>
      <c r="E8" s="77" t="s">
        <v>117</v>
      </c>
      <c r="F8" s="78"/>
      <c r="G8" s="78"/>
      <c r="H8" s="78"/>
      <c r="I8" s="79"/>
      <c r="J8" s="80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4"/>
      <c r="B9" s="70"/>
      <c r="C9" s="81" t="s">
        <v>118</v>
      </c>
      <c r="D9" s="82" t="s">
        <v>100</v>
      </c>
      <c r="E9" s="82" t="s">
        <v>101</v>
      </c>
      <c r="F9" s="82" t="s">
        <v>102</v>
      </c>
      <c r="G9" s="82" t="s">
        <v>103</v>
      </c>
      <c r="H9" s="82" t="s">
        <v>104</v>
      </c>
      <c r="I9" s="82" t="s">
        <v>105</v>
      </c>
      <c r="J9" s="83" t="s">
        <v>106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4"/>
      <c r="B10" s="70"/>
      <c r="C10" s="71" t="s">
        <v>27</v>
      </c>
      <c r="D10" s="84" t="s">
        <v>119</v>
      </c>
      <c r="E10" s="85" t="s">
        <v>120</v>
      </c>
      <c r="F10" s="72">
        <v>6.0</v>
      </c>
      <c r="G10" s="72">
        <v>-6.0</v>
      </c>
      <c r="H10" s="73" t="s">
        <v>121</v>
      </c>
      <c r="I10" s="73" t="s">
        <v>122</v>
      </c>
      <c r="J10" s="73" t="s">
        <v>12</v>
      </c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4"/>
      <c r="B11" s="70"/>
      <c r="C11" s="70"/>
      <c r="G11" s="72">
        <v>-3.0</v>
      </c>
      <c r="H11" s="73" t="s">
        <v>123</v>
      </c>
      <c r="I11" s="84" t="s">
        <v>124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4"/>
      <c r="B12" s="70"/>
      <c r="C12" s="70"/>
      <c r="G12" s="72">
        <v>0.0</v>
      </c>
      <c r="H12" s="73" t="s">
        <v>125</v>
      </c>
      <c r="I12" s="73" t="s">
        <v>126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65.25" customHeight="1">
      <c r="A13" s="64"/>
      <c r="B13" s="70"/>
      <c r="C13" s="70"/>
      <c r="D13" s="84" t="s">
        <v>127</v>
      </c>
      <c r="E13" s="85" t="s">
        <v>128</v>
      </c>
      <c r="F13" s="86">
        <v>6.0</v>
      </c>
      <c r="G13" s="72">
        <v>-6.0</v>
      </c>
      <c r="H13" s="73" t="s">
        <v>121</v>
      </c>
      <c r="I13" s="84" t="s">
        <v>122</v>
      </c>
      <c r="J13" s="73" t="s">
        <v>12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65.25" customHeight="1">
      <c r="A14" s="64"/>
      <c r="B14" s="70"/>
      <c r="C14" s="70"/>
      <c r="G14" s="72">
        <v>-3.0</v>
      </c>
      <c r="H14" s="73" t="s">
        <v>123</v>
      </c>
      <c r="I14" s="84" t="s">
        <v>124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65.25" customHeight="1">
      <c r="A15" s="64"/>
      <c r="B15" s="70"/>
      <c r="C15" s="74"/>
      <c r="G15" s="72">
        <v>0.0</v>
      </c>
      <c r="H15" s="73" t="s">
        <v>129</v>
      </c>
      <c r="I15" s="73" t="s">
        <v>130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4"/>
      <c r="B16" s="70"/>
      <c r="C16" s="75"/>
      <c r="D16" s="87" t="s">
        <v>116</v>
      </c>
      <c r="E16" s="77" t="s">
        <v>131</v>
      </c>
      <c r="F16" s="78"/>
      <c r="G16" s="78"/>
      <c r="H16" s="78"/>
      <c r="I16" s="79"/>
      <c r="J16" s="80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4"/>
      <c r="B17" s="70"/>
      <c r="C17" s="81" t="s">
        <v>118</v>
      </c>
      <c r="D17" s="82" t="s">
        <v>100</v>
      </c>
      <c r="E17" s="82" t="s">
        <v>101</v>
      </c>
      <c r="F17" s="82" t="s">
        <v>102</v>
      </c>
      <c r="G17" s="82" t="s">
        <v>103</v>
      </c>
      <c r="H17" s="82" t="s">
        <v>104</v>
      </c>
      <c r="I17" s="82" t="s">
        <v>105</v>
      </c>
      <c r="J17" s="83" t="s">
        <v>106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4"/>
      <c r="B18" s="70"/>
      <c r="C18" s="71" t="s">
        <v>132</v>
      </c>
      <c r="D18" s="84" t="s">
        <v>133</v>
      </c>
      <c r="E18" s="73" t="s">
        <v>134</v>
      </c>
      <c r="F18" s="72">
        <v>5.0</v>
      </c>
      <c r="G18" s="86">
        <v>-5.0</v>
      </c>
      <c r="H18" s="73" t="s">
        <v>135</v>
      </c>
      <c r="I18" s="73" t="s">
        <v>136</v>
      </c>
      <c r="J18" s="73" t="s">
        <v>13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4"/>
      <c r="B19" s="70"/>
      <c r="C19" s="70"/>
      <c r="H19" s="88" t="s">
        <v>137</v>
      </c>
      <c r="J19" s="88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4"/>
      <c r="B20" s="70"/>
      <c r="C20" s="70"/>
      <c r="G20" s="86">
        <v>-3.0</v>
      </c>
      <c r="H20" s="89" t="s">
        <v>138</v>
      </c>
      <c r="I20" s="73" t="s">
        <v>139</v>
      </c>
      <c r="J20" s="73" t="s">
        <v>140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4"/>
      <c r="B21" s="70"/>
      <c r="C21" s="70"/>
      <c r="H21" s="88" t="s">
        <v>137</v>
      </c>
      <c r="J21" s="88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4"/>
      <c r="B22" s="70"/>
      <c r="C22" s="74"/>
      <c r="G22" s="86">
        <v>0.0</v>
      </c>
      <c r="H22" s="73" t="s">
        <v>141</v>
      </c>
      <c r="I22" s="89" t="s">
        <v>142</v>
      </c>
      <c r="J22" s="73" t="s">
        <v>13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70"/>
      <c r="C23" s="75"/>
      <c r="D23" s="76" t="s">
        <v>116</v>
      </c>
      <c r="E23" s="77" t="s">
        <v>143</v>
      </c>
      <c r="F23" s="78"/>
      <c r="G23" s="78"/>
      <c r="H23" s="78"/>
      <c r="I23" s="79"/>
      <c r="J23" s="80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70"/>
      <c r="C24" s="81" t="s">
        <v>118</v>
      </c>
      <c r="D24" s="82" t="s">
        <v>100</v>
      </c>
      <c r="E24" s="82" t="s">
        <v>101</v>
      </c>
      <c r="F24" s="82" t="s">
        <v>102</v>
      </c>
      <c r="G24" s="82" t="s">
        <v>103</v>
      </c>
      <c r="H24" s="82" t="s">
        <v>104</v>
      </c>
      <c r="I24" s="82" t="s">
        <v>105</v>
      </c>
      <c r="J24" s="83" t="s">
        <v>106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70"/>
      <c r="C25" s="71" t="s">
        <v>37</v>
      </c>
      <c r="D25" s="73" t="s">
        <v>144</v>
      </c>
      <c r="E25" s="73" t="s">
        <v>145</v>
      </c>
      <c r="F25" s="72">
        <v>6.0</v>
      </c>
      <c r="G25" s="72">
        <v>-6.0</v>
      </c>
      <c r="H25" s="73" t="s">
        <v>146</v>
      </c>
      <c r="I25" s="73" t="s">
        <v>147</v>
      </c>
      <c r="J25" s="73" t="s">
        <v>12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33.75" customHeight="1">
      <c r="A26" s="64"/>
      <c r="B26" s="70"/>
      <c r="C26" s="70"/>
      <c r="H26" s="73" t="s">
        <v>137</v>
      </c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70"/>
      <c r="C27" s="70"/>
      <c r="G27" s="72">
        <v>-2.0</v>
      </c>
      <c r="H27" s="73" t="s">
        <v>148</v>
      </c>
      <c r="I27" s="73" t="s">
        <v>149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70"/>
      <c r="C28" s="70"/>
      <c r="H28" s="73" t="s">
        <v>137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4"/>
      <c r="B29" s="70"/>
      <c r="C29" s="70"/>
      <c r="G29" s="72">
        <v>0.0</v>
      </c>
      <c r="H29" s="73" t="s">
        <v>150</v>
      </c>
      <c r="I29" s="73" t="s">
        <v>151</v>
      </c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54.75" customHeight="1">
      <c r="A30" s="64"/>
      <c r="B30" s="70"/>
      <c r="C30" s="74"/>
      <c r="H30" s="73" t="s">
        <v>152</v>
      </c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70"/>
      <c r="C31" s="75"/>
      <c r="D31" s="76" t="s">
        <v>116</v>
      </c>
      <c r="E31" s="77" t="s">
        <v>153</v>
      </c>
      <c r="F31" s="78"/>
      <c r="G31" s="78"/>
      <c r="H31" s="78"/>
      <c r="I31" s="79"/>
      <c r="J31" s="80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70"/>
      <c r="C32" s="81" t="s">
        <v>118</v>
      </c>
      <c r="D32" s="82" t="s">
        <v>100</v>
      </c>
      <c r="E32" s="82" t="s">
        <v>101</v>
      </c>
      <c r="F32" s="82" t="s">
        <v>102</v>
      </c>
      <c r="G32" s="82" t="s">
        <v>103</v>
      </c>
      <c r="H32" s="82" t="s">
        <v>104</v>
      </c>
      <c r="I32" s="82" t="s">
        <v>105</v>
      </c>
      <c r="J32" s="83" t="s">
        <v>106</v>
      </c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70"/>
      <c r="C33" s="71" t="s">
        <v>40</v>
      </c>
      <c r="D33" s="73" t="s">
        <v>154</v>
      </c>
      <c r="E33" s="73" t="s">
        <v>155</v>
      </c>
      <c r="F33" s="72">
        <v>5.0</v>
      </c>
      <c r="G33" s="72">
        <v>-5.0</v>
      </c>
      <c r="H33" s="90" t="s">
        <v>156</v>
      </c>
      <c r="I33" s="88" t="s">
        <v>157</v>
      </c>
      <c r="J33" s="73" t="s">
        <v>12</v>
      </c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70"/>
      <c r="C34" s="70"/>
      <c r="H34" s="73" t="s">
        <v>158</v>
      </c>
      <c r="I34" s="88"/>
      <c r="J34" s="88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70"/>
      <c r="C35" s="70"/>
      <c r="G35" s="72">
        <v>-3.0</v>
      </c>
      <c r="H35" s="73" t="s">
        <v>159</v>
      </c>
      <c r="I35" s="73" t="s">
        <v>160</v>
      </c>
      <c r="J35" s="73" t="s">
        <v>12</v>
      </c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70"/>
      <c r="C36" s="74"/>
      <c r="G36" s="72">
        <v>0.0</v>
      </c>
      <c r="H36" s="73" t="s">
        <v>161</v>
      </c>
      <c r="I36" s="73" t="s">
        <v>162</v>
      </c>
      <c r="J36" s="73" t="s">
        <v>12</v>
      </c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70"/>
      <c r="C37" s="75"/>
      <c r="D37" s="76" t="s">
        <v>116</v>
      </c>
      <c r="E37" s="77" t="s">
        <v>163</v>
      </c>
      <c r="F37" s="78"/>
      <c r="G37" s="78"/>
      <c r="H37" s="78"/>
      <c r="I37" s="79"/>
      <c r="J37" s="80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70"/>
      <c r="C38" s="81" t="s">
        <v>118</v>
      </c>
      <c r="D38" s="82" t="s">
        <v>100</v>
      </c>
      <c r="E38" s="82" t="s">
        <v>101</v>
      </c>
      <c r="F38" s="82" t="s">
        <v>102</v>
      </c>
      <c r="G38" s="82" t="s">
        <v>103</v>
      </c>
      <c r="H38" s="82" t="s">
        <v>104</v>
      </c>
      <c r="I38" s="82" t="s">
        <v>105</v>
      </c>
      <c r="J38" s="83" t="s">
        <v>106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70"/>
      <c r="C39" s="71" t="s">
        <v>43</v>
      </c>
      <c r="D39" s="84" t="s">
        <v>164</v>
      </c>
      <c r="E39" s="73" t="s">
        <v>45</v>
      </c>
      <c r="F39" s="88"/>
      <c r="G39" s="72" t="s">
        <v>77</v>
      </c>
      <c r="H39" s="73" t="s">
        <v>165</v>
      </c>
      <c r="I39" s="73" t="s">
        <v>166</v>
      </c>
      <c r="J39" s="91" t="s">
        <v>12</v>
      </c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70"/>
      <c r="C40" s="74"/>
      <c r="D40" s="73" t="s">
        <v>47</v>
      </c>
      <c r="E40" s="73" t="s">
        <v>45</v>
      </c>
      <c r="F40" s="88"/>
      <c r="G40" s="72" t="s">
        <v>77</v>
      </c>
      <c r="H40" s="73" t="s">
        <v>167</v>
      </c>
      <c r="I40" s="73" t="s">
        <v>168</v>
      </c>
      <c r="J40" s="91" t="s">
        <v>169</v>
      </c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70"/>
      <c r="C41" s="75"/>
      <c r="D41" s="76" t="s">
        <v>116</v>
      </c>
      <c r="E41" s="77" t="s">
        <v>170</v>
      </c>
      <c r="F41" s="78"/>
      <c r="G41" s="78"/>
      <c r="H41" s="78"/>
      <c r="I41" s="79"/>
      <c r="J41" s="80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70"/>
      <c r="C42" s="81" t="s">
        <v>118</v>
      </c>
      <c r="D42" s="82" t="s">
        <v>100</v>
      </c>
      <c r="E42" s="82" t="s">
        <v>101</v>
      </c>
      <c r="F42" s="82" t="s">
        <v>102</v>
      </c>
      <c r="G42" s="82" t="s">
        <v>103</v>
      </c>
      <c r="H42" s="82" t="s">
        <v>104</v>
      </c>
      <c r="I42" s="82" t="s">
        <v>105</v>
      </c>
      <c r="J42" s="83" t="s">
        <v>106</v>
      </c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70"/>
      <c r="C43" s="71" t="s">
        <v>50</v>
      </c>
      <c r="D43" s="72" t="s">
        <v>52</v>
      </c>
      <c r="E43" s="72" t="s">
        <v>171</v>
      </c>
      <c r="F43" s="72">
        <v>5.0</v>
      </c>
      <c r="G43" s="72">
        <v>-5.0</v>
      </c>
      <c r="H43" s="73" t="s">
        <v>172</v>
      </c>
      <c r="I43" s="73" t="s">
        <v>173</v>
      </c>
      <c r="J43" s="73" t="s">
        <v>13</v>
      </c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70"/>
      <c r="C44" s="70"/>
      <c r="H44" s="73" t="s">
        <v>174</v>
      </c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70"/>
      <c r="C45" s="70"/>
      <c r="G45" s="72">
        <v>0.0</v>
      </c>
      <c r="H45" s="73" t="s">
        <v>175</v>
      </c>
      <c r="I45" s="73" t="s">
        <v>176</v>
      </c>
      <c r="J45" s="73" t="s">
        <v>13</v>
      </c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70"/>
      <c r="C46" s="70"/>
      <c r="D46" s="72" t="s">
        <v>55</v>
      </c>
      <c r="E46" s="72" t="s">
        <v>177</v>
      </c>
      <c r="F46" s="72">
        <v>5.0</v>
      </c>
      <c r="G46" s="72">
        <v>-5.0</v>
      </c>
      <c r="H46" s="73" t="s">
        <v>178</v>
      </c>
      <c r="I46" s="92" t="s">
        <v>179</v>
      </c>
      <c r="J46" s="73" t="s">
        <v>13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70"/>
      <c r="C47" s="70"/>
      <c r="H47" s="73" t="s">
        <v>174</v>
      </c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70"/>
      <c r="C48" s="70"/>
      <c r="G48" s="72">
        <v>0.0</v>
      </c>
      <c r="H48" s="73" t="s">
        <v>180</v>
      </c>
      <c r="I48" s="88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70"/>
      <c r="C49" s="70"/>
      <c r="D49" s="72" t="s">
        <v>181</v>
      </c>
      <c r="E49" s="72" t="s">
        <v>182</v>
      </c>
      <c r="F49" s="72">
        <v>5.0</v>
      </c>
      <c r="G49" s="72">
        <v>-5.0</v>
      </c>
      <c r="H49" s="73" t="s">
        <v>183</v>
      </c>
      <c r="I49" s="73" t="s">
        <v>184</v>
      </c>
      <c r="J49" s="73" t="s">
        <v>12</v>
      </c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70"/>
      <c r="C50" s="70"/>
      <c r="H50" s="73" t="s">
        <v>185</v>
      </c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70"/>
      <c r="C51" s="70"/>
      <c r="G51" s="72">
        <v>0.0</v>
      </c>
      <c r="H51" s="73" t="s">
        <v>186</v>
      </c>
      <c r="I51" s="88"/>
      <c r="J51" s="73" t="s">
        <v>12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70"/>
      <c r="C52" s="70"/>
      <c r="D52" s="72" t="s">
        <v>187</v>
      </c>
      <c r="E52" s="72" t="s">
        <v>187</v>
      </c>
      <c r="F52" s="72">
        <v>5.0</v>
      </c>
      <c r="G52" s="72">
        <v>-3.0</v>
      </c>
      <c r="H52" s="73" t="s">
        <v>188</v>
      </c>
      <c r="I52" s="92" t="s">
        <v>189</v>
      </c>
      <c r="J52" s="73" t="s">
        <v>13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70"/>
      <c r="C53" s="70"/>
      <c r="H53" s="73" t="s">
        <v>190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99.0" customHeight="1">
      <c r="A54" s="64"/>
      <c r="B54" s="70"/>
      <c r="C54" s="70"/>
      <c r="G54" s="72">
        <v>-1.0</v>
      </c>
      <c r="H54" s="73" t="s">
        <v>191</v>
      </c>
      <c r="I54" s="73" t="s">
        <v>192</v>
      </c>
      <c r="J54" s="73" t="s">
        <v>13</v>
      </c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27.0" customHeight="1">
      <c r="A55" s="64"/>
      <c r="B55" s="70"/>
      <c r="C55" s="70"/>
      <c r="H55" s="73" t="s">
        <v>193</v>
      </c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70"/>
      <c r="C56" s="70"/>
      <c r="G56" s="72">
        <v>0.0</v>
      </c>
      <c r="H56" s="93" t="s">
        <v>194</v>
      </c>
      <c r="I56" s="73" t="s">
        <v>195</v>
      </c>
      <c r="J56" s="73" t="s">
        <v>13</v>
      </c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54.75" customHeight="1">
      <c r="A57" s="64"/>
      <c r="B57" s="70"/>
      <c r="C57" s="70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70"/>
      <c r="C58" s="70"/>
      <c r="D58" s="72" t="s">
        <v>62</v>
      </c>
      <c r="E58" s="86" t="s">
        <v>196</v>
      </c>
      <c r="F58" s="72">
        <v>5.0</v>
      </c>
      <c r="G58" s="72">
        <v>-3.0</v>
      </c>
      <c r="H58" s="73" t="s">
        <v>197</v>
      </c>
      <c r="I58" s="94" t="s">
        <v>198</v>
      </c>
      <c r="J58" s="94" t="s">
        <v>13</v>
      </c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70"/>
      <c r="C59" s="70"/>
      <c r="H59" s="73" t="s">
        <v>199</v>
      </c>
      <c r="I59" s="88"/>
      <c r="J59" s="88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70"/>
      <c r="C60" s="70"/>
      <c r="G60" s="72">
        <v>0.0</v>
      </c>
      <c r="H60" s="73" t="s">
        <v>200</v>
      </c>
      <c r="I60" s="88"/>
      <c r="J60" s="94" t="s">
        <v>13</v>
      </c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70"/>
      <c r="C61" s="70"/>
      <c r="D61" s="72" t="s">
        <v>64</v>
      </c>
      <c r="E61" s="86" t="s">
        <v>201</v>
      </c>
      <c r="F61" s="72">
        <v>5.0</v>
      </c>
      <c r="G61" s="72">
        <v>-5.0</v>
      </c>
      <c r="H61" s="73" t="s">
        <v>202</v>
      </c>
      <c r="I61" s="73" t="s">
        <v>203</v>
      </c>
      <c r="J61" s="73" t="s">
        <v>13</v>
      </c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70"/>
      <c r="C62" s="70"/>
      <c r="H62" s="73" t="s">
        <v>174</v>
      </c>
      <c r="I62" s="88"/>
      <c r="J62" s="88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70"/>
      <c r="C63" s="70"/>
      <c r="G63" s="72">
        <v>0.0</v>
      </c>
      <c r="H63" s="73" t="s">
        <v>65</v>
      </c>
      <c r="I63" s="88"/>
      <c r="J63" s="73" t="s">
        <v>13</v>
      </c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70"/>
      <c r="C64" s="70"/>
      <c r="D64" s="72" t="s">
        <v>67</v>
      </c>
      <c r="E64" s="72" t="s">
        <v>67</v>
      </c>
      <c r="F64" s="72">
        <v>5.0</v>
      </c>
      <c r="G64" s="72">
        <v>-5.0</v>
      </c>
      <c r="H64" s="73" t="s">
        <v>204</v>
      </c>
      <c r="I64" s="73" t="s">
        <v>205</v>
      </c>
      <c r="J64" s="73" t="s">
        <v>12</v>
      </c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70"/>
      <c r="C65" s="70"/>
      <c r="G65" s="72">
        <v>-3.0</v>
      </c>
      <c r="H65" s="73" t="s">
        <v>206</v>
      </c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70"/>
      <c r="C66" s="70"/>
      <c r="H66" s="73" t="s">
        <v>199</v>
      </c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70"/>
      <c r="C67" s="70"/>
      <c r="G67" s="72">
        <v>0.0</v>
      </c>
      <c r="H67" s="73" t="s">
        <v>207</v>
      </c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70"/>
      <c r="C68" s="70"/>
      <c r="D68" s="72" t="s">
        <v>208</v>
      </c>
      <c r="E68" s="72" t="s">
        <v>208</v>
      </c>
      <c r="F68" s="72">
        <v>5.0</v>
      </c>
      <c r="G68" s="72">
        <v>-5.0</v>
      </c>
      <c r="H68" s="73" t="s">
        <v>209</v>
      </c>
      <c r="I68" s="73" t="s">
        <v>210</v>
      </c>
      <c r="J68" s="73" t="s">
        <v>211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74"/>
      <c r="C69" s="74"/>
      <c r="G69" s="72">
        <v>0.0</v>
      </c>
      <c r="H69" s="73" t="s">
        <v>212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95" t="s">
        <v>71</v>
      </c>
      <c r="C70" s="75"/>
      <c r="D70" s="76" t="s">
        <v>213</v>
      </c>
      <c r="E70" s="77" t="s">
        <v>214</v>
      </c>
      <c r="F70" s="78"/>
      <c r="G70" s="78"/>
      <c r="H70" s="78"/>
      <c r="I70" s="79"/>
      <c r="J70" s="80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70"/>
      <c r="C71" s="81" t="s">
        <v>118</v>
      </c>
      <c r="D71" s="96" t="s">
        <v>100</v>
      </c>
      <c r="E71" s="96" t="s">
        <v>101</v>
      </c>
      <c r="F71" s="96" t="s">
        <v>102</v>
      </c>
      <c r="G71" s="96" t="s">
        <v>103</v>
      </c>
      <c r="H71" s="96" t="s">
        <v>104</v>
      </c>
      <c r="I71" s="96" t="s">
        <v>105</v>
      </c>
      <c r="J71" s="97" t="s">
        <v>106</v>
      </c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95.25" customHeight="1">
      <c r="A72" s="64"/>
      <c r="B72" s="70"/>
      <c r="C72" s="71"/>
      <c r="D72" s="72" t="s">
        <v>215</v>
      </c>
      <c r="E72" s="73" t="s">
        <v>216</v>
      </c>
      <c r="F72" s="72">
        <v>5.0</v>
      </c>
      <c r="G72" s="72">
        <v>-5.0</v>
      </c>
      <c r="H72" s="73" t="s">
        <v>217</v>
      </c>
      <c r="I72" s="73" t="s">
        <v>218</v>
      </c>
      <c r="J72" s="72" t="s">
        <v>12</v>
      </c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70"/>
      <c r="C73" s="70"/>
      <c r="H73" s="73" t="s">
        <v>219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70"/>
      <c r="C74" s="70"/>
      <c r="G74" s="72">
        <v>0.0</v>
      </c>
      <c r="H74" s="73" t="s">
        <v>220</v>
      </c>
      <c r="I74" s="73" t="s">
        <v>221</v>
      </c>
      <c r="J74" s="72" t="s">
        <v>12</v>
      </c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70"/>
      <c r="C75" s="70"/>
      <c r="E75" s="73" t="s">
        <v>222</v>
      </c>
      <c r="F75" s="88"/>
      <c r="G75" s="72" t="s">
        <v>46</v>
      </c>
      <c r="H75" s="73" t="s">
        <v>223</v>
      </c>
      <c r="I75" s="73"/>
      <c r="J75" s="72" t="s">
        <v>211</v>
      </c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70"/>
      <c r="C76" s="74"/>
      <c r="H76" s="73" t="s">
        <v>224</v>
      </c>
      <c r="I76" s="88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70"/>
      <c r="C77" s="75"/>
      <c r="D77" s="76" t="s">
        <v>213</v>
      </c>
      <c r="E77" s="77" t="s">
        <v>225</v>
      </c>
      <c r="F77" s="78"/>
      <c r="G77" s="78"/>
      <c r="H77" s="78"/>
      <c r="I77" s="79"/>
      <c r="J77" s="80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70"/>
      <c r="C78" s="81" t="s">
        <v>118</v>
      </c>
      <c r="D78" s="98" t="s">
        <v>100</v>
      </c>
      <c r="E78" s="98" t="s">
        <v>101</v>
      </c>
      <c r="F78" s="98" t="s">
        <v>102</v>
      </c>
      <c r="G78" s="98" t="s">
        <v>103</v>
      </c>
      <c r="H78" s="98" t="s">
        <v>104</v>
      </c>
      <c r="I78" s="98" t="s">
        <v>105</v>
      </c>
      <c r="J78" s="83" t="s">
        <v>106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70"/>
      <c r="C79" s="71" t="s">
        <v>78</v>
      </c>
      <c r="D79" s="72" t="s">
        <v>79</v>
      </c>
      <c r="E79" s="72" t="s">
        <v>226</v>
      </c>
      <c r="F79" s="72">
        <v>5.0</v>
      </c>
      <c r="G79" s="72">
        <v>-5.0</v>
      </c>
      <c r="H79" s="73" t="s">
        <v>227</v>
      </c>
      <c r="I79" s="73" t="s">
        <v>228</v>
      </c>
      <c r="J79" s="72" t="s">
        <v>13</v>
      </c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70"/>
      <c r="C80" s="70"/>
      <c r="H80" s="73" t="s">
        <v>229</v>
      </c>
      <c r="J80" s="88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70"/>
      <c r="C81" s="70"/>
      <c r="G81" s="72">
        <v>-3.0</v>
      </c>
      <c r="H81" s="73" t="s">
        <v>230</v>
      </c>
      <c r="I81" s="73" t="s">
        <v>231</v>
      </c>
      <c r="J81" s="72" t="s">
        <v>13</v>
      </c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70"/>
      <c r="C82" s="74"/>
      <c r="G82" s="72">
        <v>0.0</v>
      </c>
      <c r="H82" s="73" t="s">
        <v>232</v>
      </c>
      <c r="I82" s="73"/>
      <c r="J82" s="72" t="s">
        <v>13</v>
      </c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70"/>
      <c r="C83" s="71" t="s">
        <v>81</v>
      </c>
      <c r="D83" s="72" t="s">
        <v>82</v>
      </c>
      <c r="E83" s="72" t="s">
        <v>83</v>
      </c>
      <c r="F83" s="72">
        <v>5.0</v>
      </c>
      <c r="G83" s="72">
        <v>-5.0</v>
      </c>
      <c r="H83" s="73" t="s">
        <v>233</v>
      </c>
      <c r="I83" s="73" t="s">
        <v>234</v>
      </c>
      <c r="J83" s="72" t="s">
        <v>13</v>
      </c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70"/>
      <c r="C84" s="70"/>
      <c r="G84" s="72">
        <v>-2.0</v>
      </c>
      <c r="H84" s="73" t="s">
        <v>235</v>
      </c>
      <c r="I84" s="88"/>
      <c r="J84" s="72" t="s">
        <v>13</v>
      </c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70"/>
      <c r="C85" s="70"/>
      <c r="G85" s="72">
        <v>0.0</v>
      </c>
      <c r="H85" s="73" t="s">
        <v>236</v>
      </c>
      <c r="I85" s="88"/>
      <c r="J85" s="88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70"/>
      <c r="C86" s="70"/>
      <c r="D86" s="72" t="s">
        <v>84</v>
      </c>
      <c r="E86" s="73" t="s">
        <v>237</v>
      </c>
      <c r="F86" s="72">
        <v>5.0</v>
      </c>
      <c r="G86" s="72">
        <v>-5.0</v>
      </c>
      <c r="H86" s="73" t="s">
        <v>238</v>
      </c>
      <c r="I86" s="99" t="s">
        <v>239</v>
      </c>
      <c r="J86" s="72" t="s">
        <v>13</v>
      </c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70"/>
      <c r="C87" s="70"/>
      <c r="G87" s="88"/>
      <c r="H87" s="73" t="s">
        <v>240</v>
      </c>
      <c r="I87" s="88"/>
      <c r="J87" s="88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70"/>
      <c r="C88" s="70"/>
      <c r="G88" s="72">
        <v>-2.0</v>
      </c>
      <c r="H88" s="73" t="s">
        <v>241</v>
      </c>
      <c r="I88" s="99" t="s">
        <v>242</v>
      </c>
      <c r="J88" s="72" t="s">
        <v>13</v>
      </c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70"/>
      <c r="C89" s="70"/>
      <c r="G89" s="88"/>
      <c r="H89" s="73" t="s">
        <v>243</v>
      </c>
      <c r="I89" s="88"/>
      <c r="J89" s="88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70"/>
      <c r="C90" s="70"/>
      <c r="G90" s="72">
        <v>0.0</v>
      </c>
      <c r="H90" s="73" t="s">
        <v>244</v>
      </c>
      <c r="I90" s="88"/>
      <c r="J90" s="72" t="s">
        <v>13</v>
      </c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70"/>
      <c r="C91" s="70"/>
      <c r="D91" s="72" t="s">
        <v>86</v>
      </c>
      <c r="E91" s="72" t="s">
        <v>87</v>
      </c>
      <c r="F91" s="72">
        <v>6.0</v>
      </c>
      <c r="G91" s="72">
        <v>-4.0</v>
      </c>
      <c r="H91" s="73" t="s">
        <v>245</v>
      </c>
      <c r="I91" s="88"/>
      <c r="J91" s="72" t="s">
        <v>13</v>
      </c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70"/>
      <c r="C92" s="70"/>
      <c r="G92" s="72">
        <v>-2.0</v>
      </c>
      <c r="H92" s="73" t="s">
        <v>246</v>
      </c>
      <c r="I92" s="84" t="s">
        <v>247</v>
      </c>
      <c r="J92" s="72" t="s">
        <v>13</v>
      </c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74"/>
      <c r="C93" s="74"/>
      <c r="G93" s="72">
        <v>0.0</v>
      </c>
      <c r="H93" s="73" t="s">
        <v>248</v>
      </c>
      <c r="I93" s="73" t="s">
        <v>249</v>
      </c>
      <c r="J93" s="72" t="s">
        <v>13</v>
      </c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88"/>
      <c r="C94" s="86"/>
      <c r="D94" s="88"/>
      <c r="E94" s="88"/>
      <c r="F94" s="88"/>
      <c r="G94" s="88"/>
      <c r="H94" s="88"/>
      <c r="I94" s="88"/>
      <c r="J94" s="88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5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5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5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5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5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5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5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5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5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5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5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5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5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5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5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5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5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5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5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5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5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5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5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5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5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5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5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5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5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5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5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5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5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5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5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5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5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5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5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5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5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5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5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5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5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5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5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5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5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5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5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5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5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5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5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5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5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5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5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5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5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5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5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5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5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5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5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5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5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5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5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5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5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5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5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5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5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5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5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5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5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5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5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5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5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5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5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5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5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5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5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5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5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5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5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5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5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5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5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5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5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5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5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5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5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5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5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5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5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5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5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5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5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5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5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5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5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5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5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5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5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5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5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5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5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5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5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5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5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5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5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5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5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5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5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5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5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5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5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5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5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5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5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5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5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5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5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5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5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5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5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5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5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5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5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5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5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5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5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5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5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5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5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5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5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5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5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5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5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5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5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5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5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5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5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5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5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5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5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5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5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5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5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5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5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5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5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5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5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5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5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5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5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5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5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5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5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5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5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5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5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5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5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5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5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5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5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5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5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5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5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5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5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5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5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5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5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5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5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5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5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5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5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5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5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5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5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5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5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5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5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5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5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5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5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5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5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5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5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5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5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5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5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5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5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5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5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5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5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5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5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5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5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5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5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5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5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5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5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5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5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5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5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5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5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5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5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5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5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5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5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5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5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5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5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5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5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5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5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5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5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5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5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5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5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5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5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5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5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5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5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5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5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5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5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5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5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5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5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5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5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5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5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5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5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5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5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5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5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5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5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5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5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5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5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5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5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5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5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5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5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5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5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5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5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5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5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5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5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5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5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5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5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5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5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5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5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5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5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5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5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5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5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5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5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5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5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5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5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5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5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5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5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5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5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5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5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5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5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5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5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5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5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5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5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5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5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5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5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5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5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5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5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5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5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5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5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5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5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5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5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5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5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5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5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5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5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5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5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5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5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5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5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5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5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5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5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5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5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5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5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5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5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5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5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5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5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5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5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5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5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5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5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5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5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5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5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5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5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5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5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5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5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5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5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5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5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5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5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5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5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5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5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5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5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5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5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5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5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5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5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5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5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5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5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5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5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5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5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5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5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5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5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5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5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5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5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5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5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5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5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5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5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5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5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5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5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5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5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5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5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5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5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5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5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5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5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5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5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5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5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5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5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5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5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5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5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5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5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5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5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5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5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5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5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5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5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5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5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5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5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5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5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5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5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5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5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5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5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5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5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5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5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5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5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5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5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5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5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5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5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5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5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5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5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5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5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5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5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5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5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5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5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5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5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5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5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5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5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5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5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5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5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5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5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5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5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5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5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5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5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5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5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5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5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5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5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5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5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5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5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5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5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5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5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5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5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5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5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5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5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5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5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5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5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5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5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5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5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5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5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5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5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5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5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5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5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5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5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5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5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5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5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5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5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5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5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5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5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5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5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5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5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5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5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5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5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5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5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5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5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5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5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5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5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5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5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5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5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5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5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5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5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5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5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5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5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5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5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5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5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5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5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5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5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5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5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5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5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5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5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5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5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5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5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5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5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5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5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5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5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5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5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5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5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5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5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5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5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5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5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5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5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5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5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5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5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5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5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5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5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5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5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5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5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5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5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5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5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5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5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5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5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5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5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5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5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5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5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5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5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5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5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5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5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5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5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5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5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5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5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5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5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5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5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5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5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5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5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5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5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5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5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5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5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5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5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5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5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5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5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5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5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5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5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5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5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5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5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5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5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5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5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5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5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5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5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5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5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5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5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5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5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5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5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5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5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5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5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5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5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5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5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5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5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5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5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5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5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5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5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5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5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5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5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5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5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5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5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5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5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5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5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5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5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5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5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5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5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5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5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5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5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5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5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5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5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5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5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5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5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5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5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5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5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5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5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5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5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5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5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5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5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5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5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5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5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5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5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5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5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5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5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5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5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5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5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5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5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5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5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5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5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5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5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5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5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5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5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5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5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5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5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5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5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5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5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5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5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5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5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5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5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5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5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5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5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5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5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5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5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5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5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5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5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5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5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5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5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5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5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5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5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5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5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5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5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5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5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5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5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5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5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5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5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5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5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5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5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5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5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5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5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5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5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5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5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5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5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5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5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5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5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5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5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5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5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5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5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5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5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5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5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</sheetData>
  <mergeCells count="131">
    <mergeCell ref="G6:G7"/>
    <mergeCell ref="I6:I7"/>
    <mergeCell ref="J6:J7"/>
    <mergeCell ref="E8:I8"/>
    <mergeCell ref="D4:D7"/>
    <mergeCell ref="D10:D12"/>
    <mergeCell ref="E10:E12"/>
    <mergeCell ref="F10:F12"/>
    <mergeCell ref="C10:C15"/>
    <mergeCell ref="D13:D15"/>
    <mergeCell ref="E13:E15"/>
    <mergeCell ref="F13:F15"/>
    <mergeCell ref="C18:C22"/>
    <mergeCell ref="D18:D22"/>
    <mergeCell ref="J13:J15"/>
    <mergeCell ref="E16:I16"/>
    <mergeCell ref="E18:E22"/>
    <mergeCell ref="F18:F22"/>
    <mergeCell ref="G18:G19"/>
    <mergeCell ref="I18:I19"/>
    <mergeCell ref="G20:G21"/>
    <mergeCell ref="I20:I21"/>
    <mergeCell ref="D25:D30"/>
    <mergeCell ref="E25:E30"/>
    <mergeCell ref="F25:F30"/>
    <mergeCell ref="G25:G26"/>
    <mergeCell ref="I25:I26"/>
    <mergeCell ref="J25:J30"/>
    <mergeCell ref="E37:I37"/>
    <mergeCell ref="C39:C40"/>
    <mergeCell ref="E43:E45"/>
    <mergeCell ref="F43:F45"/>
    <mergeCell ref="G43:G44"/>
    <mergeCell ref="I43:I44"/>
    <mergeCell ref="J43:J44"/>
    <mergeCell ref="D43:D45"/>
    <mergeCell ref="D46:D48"/>
    <mergeCell ref="E46:E48"/>
    <mergeCell ref="F46:F48"/>
    <mergeCell ref="G46:G47"/>
    <mergeCell ref="I46:I47"/>
    <mergeCell ref="J46:J48"/>
    <mergeCell ref="E52:E57"/>
    <mergeCell ref="F52:F57"/>
    <mergeCell ref="G52:G53"/>
    <mergeCell ref="G54:G55"/>
    <mergeCell ref="I54:I55"/>
    <mergeCell ref="J54:J55"/>
    <mergeCell ref="G56:G57"/>
    <mergeCell ref="H56:H57"/>
    <mergeCell ref="I56:I57"/>
    <mergeCell ref="J56:J57"/>
    <mergeCell ref="D49:D51"/>
    <mergeCell ref="E49:E51"/>
    <mergeCell ref="F49:F51"/>
    <mergeCell ref="G49:G50"/>
    <mergeCell ref="J49:J50"/>
    <mergeCell ref="D52:D57"/>
    <mergeCell ref="J52:J53"/>
    <mergeCell ref="I49:I50"/>
    <mergeCell ref="I52:I53"/>
    <mergeCell ref="D58:D60"/>
    <mergeCell ref="E58:E60"/>
    <mergeCell ref="F58:F60"/>
    <mergeCell ref="G58:G59"/>
    <mergeCell ref="D61:D63"/>
    <mergeCell ref="G61:G62"/>
    <mergeCell ref="E61:E63"/>
    <mergeCell ref="F61:F63"/>
    <mergeCell ref="E64:E67"/>
    <mergeCell ref="F64:F67"/>
    <mergeCell ref="I64:I67"/>
    <mergeCell ref="J64:J67"/>
    <mergeCell ref="G65:G66"/>
    <mergeCell ref="F75:F76"/>
    <mergeCell ref="G75:G76"/>
    <mergeCell ref="D72:D76"/>
    <mergeCell ref="E72:E74"/>
    <mergeCell ref="F72:F74"/>
    <mergeCell ref="G72:G73"/>
    <mergeCell ref="I72:I73"/>
    <mergeCell ref="J72:J73"/>
    <mergeCell ref="E75:E76"/>
    <mergeCell ref="J75:J76"/>
    <mergeCell ref="D64:D67"/>
    <mergeCell ref="E68:E69"/>
    <mergeCell ref="F68:F69"/>
    <mergeCell ref="I68:I69"/>
    <mergeCell ref="J68:J69"/>
    <mergeCell ref="E70:I70"/>
    <mergeCell ref="E77:I77"/>
    <mergeCell ref="I79:I80"/>
    <mergeCell ref="D68:D69"/>
    <mergeCell ref="D79:D82"/>
    <mergeCell ref="E79:E82"/>
    <mergeCell ref="F79:F82"/>
    <mergeCell ref="G79:G80"/>
    <mergeCell ref="E83:E85"/>
    <mergeCell ref="F83:F85"/>
    <mergeCell ref="C4:C7"/>
    <mergeCell ref="C25:C30"/>
    <mergeCell ref="G27:G28"/>
    <mergeCell ref="I27:I28"/>
    <mergeCell ref="G29:G30"/>
    <mergeCell ref="I29:I30"/>
    <mergeCell ref="E31:I31"/>
    <mergeCell ref="C33:C36"/>
    <mergeCell ref="D33:D36"/>
    <mergeCell ref="E33:E36"/>
    <mergeCell ref="F33:F36"/>
    <mergeCell ref="G33:G34"/>
    <mergeCell ref="B3:B69"/>
    <mergeCell ref="C43:C69"/>
    <mergeCell ref="B70:B93"/>
    <mergeCell ref="C72:C76"/>
    <mergeCell ref="C79:C82"/>
    <mergeCell ref="C83:C93"/>
    <mergeCell ref="E4:E7"/>
    <mergeCell ref="F4:F7"/>
    <mergeCell ref="G4:G5"/>
    <mergeCell ref="J4:J5"/>
    <mergeCell ref="J10:J12"/>
    <mergeCell ref="E23:I23"/>
    <mergeCell ref="E41:I41"/>
    <mergeCell ref="D83:D85"/>
    <mergeCell ref="D86:D90"/>
    <mergeCell ref="E86:E90"/>
    <mergeCell ref="F86:F90"/>
    <mergeCell ref="D91:D93"/>
    <mergeCell ref="E91:E93"/>
    <mergeCell ref="F91:F93"/>
  </mergeCells>
  <hyperlinks>
    <hyperlink display="[인사 화답]_x000a__x000a_고객의 인사에 대한 적절한 화답_x000a_* 고객의 인사 ) _x000a_㉠안녕하세요 _x000a_㉡수고하십니다. _x000a_㉢여보세요 ? " location="'응대기준_참조'!A4" ref="D10"/>
    <hyperlink display="네 / 예 / 네 말씀하세요. _x000a_의 대답으로 화답할 경우 ( 미미한 화답 ) " location="'응대기준_참조'!A10" ref="I11"/>
    <hyperlink display="[불편 화답]_x000a__x000a_고객의 연결 지연에 대한 불편 _x000a_첫인사 이후, _x000a_고객의 발화에서 _x000a__x000a_&quot; 힘들어요 &quot; _x000a_&quot; 안돼요 &quot; _x000a_가 확인되면, _x000a_ex : 전화 연결이 왜 이렇게 힘들어요 _x000a_ex : 상담사 연결이 너무 안돼요_x000a_첫 인사 후, 고객이 안돼요 힘들어요 란 문장이 포함된 발화를 했을 때, " location="'응대기준_참조'!A4" ref="D13"/>
    <hyperlink display="참조 예시로 나오는 응답이 진행되지 않고 상담원이 자기 발화 시작함 " location="'응대기준_참조'!B51" ref="I13"/>
    <hyperlink display="네 / 예 / 네 말씀하세요. _x000a_의 대답으로 화답할 경우 ( 미미한 화답 ) " location="'응대기준_참조'!A10" ref="I14"/>
    <hyperlink display="긍 / 부정 상황에 대한 충분한 공감_x000a_ " location="'응대기준_참조'!A15" ref="D18"/>
    <hyperlink display="감점 발생 요인 _x000a_멘트 없이 무응답 시간 15s 이상 발생 &gt; 고객의 상담원 발화 촉구 요청 멘트 발생 _x000a__x000a_* 발화 촉구 요청 멘트 참조 " location="'응대기준_참조'!A23" ref="H33"/>
    <hyperlink display="욕설, 금지어 표현 일체 " location="'응대기준_참조'!A36" ref="D39"/>
    <hyperlink display="참조내 내용으로 발화되는 경우_상담원 발화에서만 확인함 " location="'응대기준_참조'!A51" ref="I46"/>
    <hyperlink display="참조 내 단어 확인_측정 조건 1) 비언어 확인 __and__측정 조건 2) 5회 이상 확인되는 경우 점수 차감 발생 " location="'응대기준_참조'!A97" ref="I52"/>
    <hyperlink display="쉬운 설명 참조 " location="'응대기준_참조'!A103" ref="I86"/>
    <hyperlink display="내부 용어 참조 " location="'응대기준_참조'!A121" ref="I88"/>
    <hyperlink display="고객의 요청 사항 참조 " location="'응대기준_참조'!A134" ref="I92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7.75"/>
    <col customWidth="1" min="3" max="3" width="27.5"/>
    <col customWidth="1" min="4" max="7" width="19.13"/>
    <col customWidth="1" min="8" max="9" width="5.88"/>
    <col customWidth="1" min="10" max="10" width="68.25"/>
    <col customWidth="1" min="11" max="26" width="5.88"/>
  </cols>
  <sheetData>
    <row r="1" ht="14.2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ht="14.2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4.2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2" t="s">
        <v>250</v>
      </c>
      <c r="B4" s="100" t="s">
        <v>251</v>
      </c>
      <c r="C4" s="101" t="s">
        <v>252</v>
      </c>
      <c r="D4" s="101" t="s">
        <v>253</v>
      </c>
      <c r="E4" s="101" t="s">
        <v>254</v>
      </c>
      <c r="F4" s="101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4.25" customHeight="1">
      <c r="A5" s="100"/>
      <c r="B5" s="100"/>
      <c r="C5" s="101" t="s">
        <v>255</v>
      </c>
      <c r="D5" s="101" t="s">
        <v>256</v>
      </c>
      <c r="E5" s="101" t="s">
        <v>257</v>
      </c>
      <c r="F5" s="101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4.25" customHeight="1">
      <c r="A6" s="100"/>
      <c r="B6" s="100" t="s">
        <v>258</v>
      </c>
      <c r="C6" s="100" t="s">
        <v>259</v>
      </c>
      <c r="D6" s="100" t="s">
        <v>260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4.25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4.25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4.25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4.25" customHeight="1">
      <c r="A10" s="2" t="s">
        <v>261</v>
      </c>
      <c r="B10" s="100" t="s">
        <v>262</v>
      </c>
      <c r="C10" s="100" t="s">
        <v>263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4.25" customHeight="1">
      <c r="A11" s="100"/>
      <c r="B11" s="100"/>
      <c r="C11" s="100" t="s">
        <v>264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4.25" customHeight="1">
      <c r="A12" s="100"/>
      <c r="B12" s="100"/>
      <c r="C12" s="100" t="s">
        <v>265</v>
      </c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4.25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4.25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4.25" customHeight="1">
      <c r="A15" s="2" t="s">
        <v>266</v>
      </c>
      <c r="B15" s="100" t="s">
        <v>267</v>
      </c>
      <c r="C15" s="100" t="s">
        <v>268</v>
      </c>
      <c r="D15" s="100" t="s">
        <v>269</v>
      </c>
      <c r="E15" s="100" t="s">
        <v>270</v>
      </c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4.25" customHeight="1">
      <c r="A16" s="100"/>
      <c r="B16" s="100"/>
      <c r="C16" s="100" t="s">
        <v>271</v>
      </c>
      <c r="D16" s="100" t="s">
        <v>272</v>
      </c>
      <c r="E16" s="100" t="s">
        <v>273</v>
      </c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4.25" customHeight="1">
      <c r="A17" s="100"/>
      <c r="B17" s="100"/>
      <c r="C17" s="100" t="s">
        <v>274</v>
      </c>
      <c r="D17" s="100" t="s">
        <v>275</v>
      </c>
      <c r="E17" s="100" t="s">
        <v>276</v>
      </c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4.25" customHeight="1">
      <c r="A18" s="100"/>
      <c r="B18" s="100"/>
      <c r="C18" s="100" t="s">
        <v>277</v>
      </c>
      <c r="D18" s="100" t="s">
        <v>278</v>
      </c>
      <c r="E18" s="100" t="s">
        <v>279</v>
      </c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4.25" customHeight="1">
      <c r="A19" s="100"/>
      <c r="B19" s="100"/>
      <c r="C19" s="100" t="s">
        <v>280</v>
      </c>
      <c r="D19" s="100"/>
      <c r="E19" s="100" t="s">
        <v>281</v>
      </c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4.25" customHeight="1">
      <c r="A20" s="100"/>
      <c r="B20" s="100"/>
      <c r="C20" s="100" t="s">
        <v>282</v>
      </c>
      <c r="D20" s="100"/>
      <c r="E20" s="100" t="s">
        <v>283</v>
      </c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4.25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4.2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4.25" customHeight="1">
      <c r="A23" s="2" t="s">
        <v>284</v>
      </c>
      <c r="B23" s="100" t="s">
        <v>285</v>
      </c>
      <c r="C23" s="100" t="s">
        <v>286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4.25" customHeight="1">
      <c r="A24" s="100"/>
      <c r="B24" s="100"/>
      <c r="C24" s="100" t="s">
        <v>287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4.25" customHeight="1">
      <c r="A25" s="100"/>
      <c r="B25" s="100"/>
      <c r="C25" s="100" t="s">
        <v>288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4.25" customHeight="1">
      <c r="A26" s="100"/>
      <c r="B26" s="100"/>
      <c r="C26" s="100" t="s">
        <v>289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4.25" customHeight="1">
      <c r="A27" s="100"/>
      <c r="B27" s="100"/>
      <c r="C27" s="100" t="s">
        <v>290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4.25" customHeight="1">
      <c r="A28" s="100"/>
      <c r="B28" s="100"/>
      <c r="C28" s="100" t="s">
        <v>291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4.25" customHeight="1">
      <c r="A29" s="100"/>
      <c r="B29" s="100"/>
      <c r="C29" s="100" t="s">
        <v>292</v>
      </c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4.25" customHeight="1">
      <c r="A30" s="100"/>
      <c r="B30" s="100"/>
      <c r="C30" s="100" t="s">
        <v>293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4.25" customHeight="1">
      <c r="A31" s="100"/>
      <c r="B31" s="100"/>
      <c r="C31" s="100" t="s">
        <v>294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0" customHeight="1">
      <c r="A32" s="100"/>
      <c r="B32" s="100"/>
      <c r="C32" s="100" t="s">
        <v>295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4.25" customHeight="1">
      <c r="A33" s="100"/>
      <c r="B33" s="100"/>
      <c r="C33" s="100" t="s">
        <v>296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4.25" customHeight="1">
      <c r="A34" s="100"/>
      <c r="B34" s="100"/>
      <c r="C34" s="100" t="s">
        <v>297</v>
      </c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4.25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2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4.25" customHeight="1">
      <c r="A36" s="2" t="s">
        <v>298</v>
      </c>
      <c r="B36" s="100" t="s">
        <v>299</v>
      </c>
      <c r="C36" s="100" t="s">
        <v>300</v>
      </c>
      <c r="D36" s="100" t="s">
        <v>301</v>
      </c>
      <c r="E36" s="100" t="s">
        <v>302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2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4.25" customHeight="1">
      <c r="A37" s="100"/>
      <c r="B37" s="100"/>
      <c r="C37" s="100" t="s">
        <v>303</v>
      </c>
      <c r="D37" s="100" t="s">
        <v>304</v>
      </c>
      <c r="E37" s="100" t="s">
        <v>305</v>
      </c>
      <c r="F37" s="100"/>
      <c r="G37" s="100"/>
      <c r="H37" s="100"/>
      <c r="I37" s="100"/>
      <c r="J37" s="100"/>
      <c r="K37" s="100"/>
      <c r="L37" s="100"/>
      <c r="M37" s="100"/>
      <c r="N37" s="100"/>
      <c r="O37" s="102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4.25" customHeight="1">
      <c r="A38" s="100"/>
      <c r="B38" s="100"/>
      <c r="C38" s="100" t="s">
        <v>303</v>
      </c>
      <c r="D38" s="100" t="s">
        <v>306</v>
      </c>
      <c r="E38" s="100" t="s">
        <v>307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2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4.25" customHeight="1">
      <c r="A39" s="100"/>
      <c r="B39" s="100"/>
      <c r="C39" s="100" t="s">
        <v>303</v>
      </c>
      <c r="D39" s="100" t="s">
        <v>308</v>
      </c>
      <c r="E39" s="100" t="s">
        <v>309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2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4.25" customHeight="1">
      <c r="A40" s="100"/>
      <c r="B40" s="100"/>
      <c r="C40" s="100" t="s">
        <v>303</v>
      </c>
      <c r="D40" s="100" t="s">
        <v>310</v>
      </c>
      <c r="E40" s="100" t="s">
        <v>311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2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4.25" customHeight="1">
      <c r="A41" s="100"/>
      <c r="B41" s="100"/>
      <c r="C41" s="100" t="s">
        <v>303</v>
      </c>
      <c r="D41" s="100" t="s">
        <v>312</v>
      </c>
      <c r="E41" s="100" t="s">
        <v>313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2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4.25" customHeight="1">
      <c r="A42" s="100"/>
      <c r="B42" s="100"/>
      <c r="C42" s="100" t="s">
        <v>314</v>
      </c>
      <c r="D42" s="100" t="s">
        <v>315</v>
      </c>
      <c r="E42" s="100" t="s">
        <v>316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2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4.25" customHeight="1">
      <c r="A43" s="100"/>
      <c r="B43" s="100"/>
      <c r="C43" s="100" t="s">
        <v>314</v>
      </c>
      <c r="D43" s="100" t="s">
        <v>317</v>
      </c>
      <c r="E43" s="100" t="s">
        <v>318</v>
      </c>
      <c r="F43" s="100"/>
      <c r="G43" s="100"/>
      <c r="H43" s="100"/>
      <c r="I43" s="100"/>
      <c r="J43" s="100"/>
      <c r="K43" s="100"/>
      <c r="L43" s="100"/>
      <c r="M43" s="100"/>
      <c r="N43" s="100"/>
      <c r="O43" s="102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4.25" customHeight="1">
      <c r="A44" s="100"/>
      <c r="B44" s="100"/>
      <c r="C44" s="100" t="s">
        <v>319</v>
      </c>
      <c r="D44" s="100" t="s">
        <v>320</v>
      </c>
      <c r="E44" s="100" t="s">
        <v>321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2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4.25" customHeight="1">
      <c r="A45" s="100"/>
      <c r="B45" s="100"/>
      <c r="C45" s="100" t="s">
        <v>319</v>
      </c>
      <c r="D45" s="100" t="s">
        <v>322</v>
      </c>
      <c r="E45" s="100" t="s">
        <v>323</v>
      </c>
      <c r="F45" s="100"/>
      <c r="G45" s="100"/>
      <c r="H45" s="100"/>
      <c r="I45" s="100"/>
      <c r="J45" s="100"/>
      <c r="K45" s="100"/>
      <c r="L45" s="100"/>
      <c r="M45" s="100"/>
      <c r="N45" s="100"/>
      <c r="O45" s="102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4.25" customHeight="1">
      <c r="A46" s="100"/>
      <c r="B46" s="100"/>
      <c r="C46" s="100" t="s">
        <v>324</v>
      </c>
      <c r="D46" s="100" t="s">
        <v>325</v>
      </c>
      <c r="E46" s="100" t="s">
        <v>326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4.25" customHeight="1">
      <c r="A47" s="100"/>
      <c r="B47" s="100"/>
      <c r="C47" s="100" t="s">
        <v>324</v>
      </c>
      <c r="D47" s="100" t="s">
        <v>327</v>
      </c>
      <c r="E47" s="100" t="s">
        <v>328</v>
      </c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4.25" customHeight="1">
      <c r="A48" s="100"/>
      <c r="B48" s="100"/>
      <c r="C48" s="100" t="s">
        <v>324</v>
      </c>
      <c r="D48" s="100" t="s">
        <v>329</v>
      </c>
      <c r="E48" s="100" t="s">
        <v>330</v>
      </c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4.25" customHeight="1">
      <c r="A49" s="100"/>
      <c r="B49" s="100"/>
      <c r="C49" s="100" t="s">
        <v>324</v>
      </c>
      <c r="D49" s="100" t="s">
        <v>331</v>
      </c>
      <c r="E49" s="100" t="s">
        <v>332</v>
      </c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4.2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4.25" customHeight="1">
      <c r="A51" s="2" t="s">
        <v>333</v>
      </c>
      <c r="B51" s="100" t="s">
        <v>334</v>
      </c>
      <c r="C51" s="100" t="s">
        <v>335</v>
      </c>
      <c r="D51" s="100" t="s">
        <v>336</v>
      </c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4.25" customHeight="1">
      <c r="A52" s="100"/>
      <c r="B52" s="100"/>
      <c r="C52" s="100" t="s">
        <v>337</v>
      </c>
      <c r="D52" s="100" t="s">
        <v>338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4.25" customHeight="1">
      <c r="A53" s="100"/>
      <c r="B53" s="100"/>
      <c r="C53" s="100" t="s">
        <v>339</v>
      </c>
      <c r="D53" s="100" t="s">
        <v>340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4.25" customHeight="1">
      <c r="A54" s="100"/>
      <c r="B54" s="100"/>
      <c r="C54" s="100" t="s">
        <v>341</v>
      </c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4.25" customHeight="1">
      <c r="A55" s="100"/>
      <c r="B55" s="100"/>
      <c r="C55" s="100" t="s">
        <v>342</v>
      </c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4.25" customHeight="1">
      <c r="A56" s="100"/>
      <c r="B56" s="100"/>
      <c r="C56" s="100" t="s">
        <v>343</v>
      </c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4.2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4.25" customHeight="1">
      <c r="A58" s="100"/>
      <c r="B58" s="100"/>
      <c r="C58" s="100" t="s">
        <v>344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4.25" customHeight="1">
      <c r="A59" s="100"/>
      <c r="B59" s="100"/>
      <c r="C59" s="100" t="s">
        <v>345</v>
      </c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4.25" customHeight="1">
      <c r="A60" s="100"/>
      <c r="B60" s="100"/>
      <c r="C60" s="100" t="s">
        <v>346</v>
      </c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4.25" customHeight="1">
      <c r="A61" s="100"/>
      <c r="B61" s="100"/>
      <c r="C61" s="100" t="s">
        <v>347</v>
      </c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4.25" customHeight="1">
      <c r="A62" s="100"/>
      <c r="B62" s="100"/>
      <c r="C62" s="100" t="s">
        <v>348</v>
      </c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4.25" customHeight="1">
      <c r="A63" s="100"/>
      <c r="B63" s="100"/>
      <c r="C63" s="100" t="s">
        <v>349</v>
      </c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4.2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4.25" customHeight="1">
      <c r="A65" s="100"/>
      <c r="B65" s="100"/>
      <c r="C65" s="100" t="s">
        <v>350</v>
      </c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4.25" customHeight="1">
      <c r="A66" s="100"/>
      <c r="B66" s="100"/>
      <c r="C66" s="100" t="s">
        <v>351</v>
      </c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4.25" customHeight="1">
      <c r="A67" s="100"/>
      <c r="B67" s="100"/>
      <c r="C67" s="100" t="s">
        <v>352</v>
      </c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4.25" customHeight="1">
      <c r="A68" s="100"/>
      <c r="B68" s="100"/>
      <c r="C68" s="100" t="s">
        <v>353</v>
      </c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4.25" customHeight="1">
      <c r="A69" s="100"/>
      <c r="B69" s="100"/>
      <c r="C69" s="100" t="s">
        <v>354</v>
      </c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4.25" customHeight="1">
      <c r="A70" s="100"/>
      <c r="B70" s="100"/>
      <c r="C70" s="100" t="s">
        <v>355</v>
      </c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4.25" customHeight="1">
      <c r="A71" s="100"/>
      <c r="B71" s="100"/>
      <c r="C71" s="100" t="s">
        <v>356</v>
      </c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4.25" customHeight="1">
      <c r="A72" s="100"/>
      <c r="B72" s="100"/>
      <c r="C72" s="100" t="s">
        <v>357</v>
      </c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4.25" customHeight="1">
      <c r="A73" s="100"/>
      <c r="B73" s="100"/>
      <c r="C73" s="100" t="s">
        <v>358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4.25" customHeight="1">
      <c r="A74" s="100"/>
      <c r="B74" s="100"/>
      <c r="C74" s="100" t="s">
        <v>359</v>
      </c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4.25" customHeight="1">
      <c r="A75" s="100"/>
      <c r="B75" s="100"/>
      <c r="C75" s="100" t="s">
        <v>360</v>
      </c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4.25" customHeight="1">
      <c r="A76" s="100"/>
      <c r="B76" s="100"/>
      <c r="C76" s="100" t="s">
        <v>361</v>
      </c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4.25" customHeight="1">
      <c r="A77" s="100"/>
      <c r="B77" s="100"/>
      <c r="C77" s="100" t="s">
        <v>362</v>
      </c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4.25" customHeight="1">
      <c r="A78" s="100"/>
      <c r="B78" s="100"/>
      <c r="C78" s="100" t="s">
        <v>363</v>
      </c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4.25" customHeight="1">
      <c r="A79" s="100"/>
      <c r="B79" s="100"/>
      <c r="C79" s="100" t="s">
        <v>364</v>
      </c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4.25" customHeight="1">
      <c r="A80" s="100"/>
      <c r="B80" s="100"/>
      <c r="C80" s="100" t="s">
        <v>365</v>
      </c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4.25" customHeight="1">
      <c r="A81" s="100"/>
      <c r="B81" s="100"/>
      <c r="C81" s="100" t="s">
        <v>366</v>
      </c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4.25" customHeight="1">
      <c r="A82" s="100"/>
      <c r="B82" s="100"/>
      <c r="C82" s="100" t="s">
        <v>367</v>
      </c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4.25" customHeight="1">
      <c r="A83" s="100"/>
      <c r="B83" s="100"/>
      <c r="C83" s="100" t="s">
        <v>368</v>
      </c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4.25" customHeight="1">
      <c r="A84" s="100"/>
      <c r="B84" s="100"/>
      <c r="C84" s="100" t="s">
        <v>369</v>
      </c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4.25" customHeight="1">
      <c r="A85" s="100"/>
      <c r="B85" s="100"/>
      <c r="C85" s="100" t="s">
        <v>370</v>
      </c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4.25" customHeight="1">
      <c r="A86" s="100"/>
      <c r="B86" s="100"/>
      <c r="C86" s="100" t="s">
        <v>371</v>
      </c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4.25" customHeight="1">
      <c r="A87" s="100"/>
      <c r="B87" s="100"/>
      <c r="C87" s="100" t="s">
        <v>372</v>
      </c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4.25" customHeight="1">
      <c r="A88" s="100"/>
      <c r="B88" s="100"/>
      <c r="C88" s="100" t="s">
        <v>373</v>
      </c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4.25" customHeight="1">
      <c r="A89" s="100"/>
      <c r="B89" s="100"/>
      <c r="C89" s="100" t="s">
        <v>374</v>
      </c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4.25" customHeight="1">
      <c r="A90" s="100"/>
      <c r="B90" s="100"/>
      <c r="C90" s="100" t="s">
        <v>375</v>
      </c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4.25" customHeight="1">
      <c r="A91" s="100"/>
      <c r="B91" s="100"/>
      <c r="C91" s="100" t="s">
        <v>376</v>
      </c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4.25" customHeight="1">
      <c r="A92" s="100"/>
      <c r="B92" s="100"/>
      <c r="C92" s="100" t="s">
        <v>377</v>
      </c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4.25" customHeight="1">
      <c r="A93" s="100"/>
      <c r="B93" s="100"/>
      <c r="C93" s="100" t="s">
        <v>378</v>
      </c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4.25" customHeight="1">
      <c r="A94" s="100"/>
      <c r="B94" s="100"/>
      <c r="C94" s="100" t="s">
        <v>379</v>
      </c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4.25" customHeight="1">
      <c r="A95" s="100"/>
      <c r="B95" s="100"/>
      <c r="C95" s="100" t="s">
        <v>380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4.2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4.25" customHeight="1">
      <c r="A97" s="2" t="s">
        <v>381</v>
      </c>
      <c r="B97" s="100" t="s">
        <v>382</v>
      </c>
      <c r="C97" s="100" t="s">
        <v>383</v>
      </c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4.25" customHeight="1">
      <c r="A98" s="100"/>
      <c r="B98" s="100"/>
      <c r="C98" s="100" t="s">
        <v>384</v>
      </c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4.25" customHeight="1">
      <c r="A99" s="100"/>
      <c r="B99" s="100"/>
      <c r="C99" s="100" t="s">
        <v>385</v>
      </c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4.2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4.2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4.2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4.25" customHeight="1">
      <c r="A103" s="2" t="s">
        <v>386</v>
      </c>
      <c r="B103" s="100" t="s">
        <v>84</v>
      </c>
      <c r="C103" s="100" t="s">
        <v>387</v>
      </c>
      <c r="D103" s="100" t="s">
        <v>388</v>
      </c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4.25" customHeight="1">
      <c r="A104" s="2"/>
      <c r="B104" s="100"/>
      <c r="C104" s="100" t="s">
        <v>389</v>
      </c>
      <c r="D104" s="100" t="s">
        <v>390</v>
      </c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4.25" customHeight="1">
      <c r="A105" s="2"/>
      <c r="B105" s="100"/>
      <c r="C105" s="100" t="s">
        <v>391</v>
      </c>
      <c r="D105" s="100" t="s">
        <v>392</v>
      </c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4.25" customHeight="1">
      <c r="A106" s="2"/>
      <c r="B106" s="100"/>
      <c r="C106" s="100" t="s">
        <v>393</v>
      </c>
      <c r="D106" s="100" t="s">
        <v>394</v>
      </c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4.25" customHeight="1">
      <c r="A107" s="2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4.25" customHeight="1">
      <c r="A108" s="2" t="s">
        <v>395</v>
      </c>
      <c r="B108" s="100" t="s">
        <v>396</v>
      </c>
      <c r="C108" s="100" t="s">
        <v>397</v>
      </c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4.25" customHeight="1">
      <c r="A109" s="2"/>
      <c r="B109" s="100"/>
      <c r="C109" s="100" t="s">
        <v>398</v>
      </c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4.25" customHeight="1">
      <c r="A110" s="2"/>
      <c r="B110" s="100"/>
      <c r="C110" s="100" t="s">
        <v>399</v>
      </c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4.25" customHeight="1">
      <c r="A111" s="2"/>
      <c r="B111" s="100"/>
      <c r="C111" s="100" t="s">
        <v>400</v>
      </c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4.25" customHeight="1">
      <c r="A112" s="2"/>
      <c r="B112" s="100"/>
      <c r="C112" s="100" t="s">
        <v>401</v>
      </c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4.25" customHeight="1">
      <c r="A113" s="2"/>
      <c r="B113" s="100"/>
      <c r="C113" s="100" t="s">
        <v>402</v>
      </c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4.25" customHeight="1">
      <c r="A114" s="2"/>
      <c r="B114" s="100"/>
      <c r="C114" s="100" t="s">
        <v>403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4.25" customHeight="1">
      <c r="A115" s="2"/>
      <c r="B115" s="100"/>
      <c r="C115" s="103" t="s">
        <v>404</v>
      </c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4.25" customHeight="1">
      <c r="A116" s="2"/>
      <c r="B116" s="100"/>
      <c r="C116" s="100" t="s">
        <v>405</v>
      </c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4.25" customHeight="1">
      <c r="A117" s="2"/>
      <c r="B117" s="100"/>
      <c r="C117" s="100" t="s">
        <v>406</v>
      </c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4.25" customHeight="1">
      <c r="A118" s="2"/>
      <c r="B118" s="100"/>
      <c r="C118" s="100" t="s">
        <v>407</v>
      </c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4.25" customHeight="1">
      <c r="A119" s="2"/>
      <c r="B119" s="100"/>
      <c r="C119" s="103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4.25" customHeight="1">
      <c r="A120" s="2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4.25" customHeight="1">
      <c r="A121" s="2" t="s">
        <v>408</v>
      </c>
      <c r="B121" s="100" t="s">
        <v>409</v>
      </c>
      <c r="C121" s="103" t="s">
        <v>410</v>
      </c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4.25" customHeight="1">
      <c r="A122" s="2"/>
      <c r="B122" s="100"/>
      <c r="C122" s="100" t="s">
        <v>411</v>
      </c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4.25" customHeight="1">
      <c r="A123" s="2"/>
      <c r="B123" s="100"/>
      <c r="C123" s="103" t="s">
        <v>412</v>
      </c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4.25" customHeight="1">
      <c r="A124" s="2"/>
      <c r="B124" s="100"/>
      <c r="C124" s="100" t="s">
        <v>413</v>
      </c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4.25" customHeight="1">
      <c r="A125" s="2"/>
      <c r="B125" s="100"/>
      <c r="C125" s="100" t="s">
        <v>414</v>
      </c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4.25" customHeight="1">
      <c r="A126" s="2"/>
      <c r="B126" s="100"/>
      <c r="C126" s="100" t="s">
        <v>415</v>
      </c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4.25" customHeight="1">
      <c r="A127" s="2"/>
      <c r="B127" s="100"/>
      <c r="C127" s="100" t="s">
        <v>416</v>
      </c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4.25" customHeight="1">
      <c r="A128" s="2"/>
      <c r="B128" s="100"/>
      <c r="C128" s="100" t="s">
        <v>417</v>
      </c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4.25" customHeight="1">
      <c r="A129" s="2"/>
      <c r="B129" s="100"/>
      <c r="C129" s="100" t="s">
        <v>418</v>
      </c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4.25" customHeight="1">
      <c r="A130" s="2"/>
      <c r="B130" s="100"/>
      <c r="C130" s="100" t="s">
        <v>419</v>
      </c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4.25" customHeight="1">
      <c r="A131" s="2"/>
      <c r="B131" s="100"/>
      <c r="C131" s="100" t="s">
        <v>420</v>
      </c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4.25" customHeight="1">
      <c r="A132" s="2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4.25" customHeight="1">
      <c r="A133" s="2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4.25" customHeight="1">
      <c r="A134" s="2" t="s">
        <v>421</v>
      </c>
      <c r="B134" s="100" t="s">
        <v>422</v>
      </c>
      <c r="C134" s="100" t="s">
        <v>423</v>
      </c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ht="14.25" customHeight="1">
      <c r="A135" s="100"/>
      <c r="B135" s="100"/>
      <c r="C135" s="100" t="s">
        <v>424</v>
      </c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ht="14.25" customHeight="1">
      <c r="A136" s="100"/>
      <c r="B136" s="100"/>
      <c r="C136" s="100" t="s">
        <v>425</v>
      </c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ht="14.25" customHeight="1">
      <c r="A137" s="100"/>
      <c r="B137" s="100"/>
      <c r="C137" s="100" t="s">
        <v>426</v>
      </c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4.2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4.2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4.2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4.2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4.2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4.2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4.2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4.2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4.2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4.2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4.2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4.25" customHeight="1">
      <c r="A149" s="100"/>
      <c r="B149" s="100"/>
      <c r="C149" s="104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4.2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4.2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4.2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4.2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4.2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4.25" customHeight="1">
      <c r="A155" s="100"/>
      <c r="B155" s="100"/>
      <c r="C155" s="104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4.2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4.2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4.2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4.2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4.2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4.25" customHeight="1">
      <c r="A161" s="100"/>
      <c r="B161" s="100"/>
      <c r="C161" s="104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4.2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4.2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4.2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4.2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4.2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4.25" customHeight="1">
      <c r="A167" s="100"/>
      <c r="B167" s="100"/>
      <c r="C167" s="104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4.2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4.2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4.2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4.2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4.2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4.25" customHeight="1">
      <c r="A173" s="100"/>
      <c r="B173" s="100"/>
      <c r="C173" s="104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4.2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4.2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4.2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4.2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4.2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4.2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4.2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4.2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4.2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4.2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4.2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4.2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4.2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4.2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4.2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4.2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4.2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4.2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4.2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4.2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4.2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4.2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4.2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4.2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4.2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4.2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4.2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4.2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4.2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4.2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4.2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4.2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4.2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4.2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4.2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4.2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4.2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4.2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4.2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4.2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4.2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4.2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4.2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4.2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4.2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4.2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4.2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4.2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4.2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4.2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4.2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4.2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4.2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4.2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4.2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4.2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4.2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4.2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4.2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4.2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4.2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4.2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4.2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4.2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4.2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4.2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4.2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4.2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4.2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4.2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4.2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4.2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4.2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4.2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4.2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4.2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4.2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4.2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4.2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4.2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4.2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4.2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4.2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4.2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4.2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4.2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4.2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4.2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4.2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4.2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4.2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4.2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4.2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4.2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4.2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4.2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4.2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4.2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4.2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4.2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4.2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4.2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4.2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4.2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4.2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4.2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4.2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4.2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4.2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4.2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4.2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4.2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4.2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4.2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4.2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4.2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4.2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4.2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4.2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4.2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4.2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4.2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4.2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4.2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4.2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4.2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4.2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4.2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4.2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4.2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4.2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4.2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4.2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4.2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4.2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4.2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4.2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4.2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4.2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4.2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4.2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4.2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4.2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4.2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4.2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4.2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4.2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4.2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4.2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4.2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4.2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4.2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4.2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4.2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4.2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4.2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4.2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4.2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4.2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4.2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4.2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4.2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4.2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4.2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4.2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4.2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4.2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4.2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4.2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4.2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4.2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4.2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4.2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4.2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4.2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4.2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4.2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4.2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4.2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4.2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4.2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4.2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4.2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4.2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4.2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4.2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4.2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4.2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4.2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4.2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4.2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4.2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4.2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4.2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4.2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4.2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4.2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4.2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4.2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4.2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4.2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4.2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4.2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4.2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4.2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4.2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4.2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4.2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4.2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4.2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4.2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4.2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4.2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4.2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4.2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4.2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4.2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4.2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4.2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4.2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4.2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4.2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4.2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4.2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4.2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4.2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4.2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4.2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4.2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4.2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4.2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4.2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4.2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4.2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4.2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4.2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4.2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4.2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4.2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4.2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4.2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4.2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4.2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4.2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4.2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4.2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4.2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4.2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4.2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4.2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4.2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4.2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4.2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4.2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4.2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ht="14.2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ht="14.2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ht="14.2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ht="14.2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ht="14.2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ht="14.2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ht="14.2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ht="14.2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ht="14.2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ht="14.2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ht="14.2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ht="14.2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ht="14.2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ht="14.2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ht="14.2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ht="14.2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ht="14.2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ht="14.2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ht="14.2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ht="14.2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ht="14.2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ht="14.2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ht="14.2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ht="14.2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ht="14.2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ht="14.2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ht="14.2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ht="14.2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ht="14.2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ht="14.2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ht="14.2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ht="14.2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ht="14.2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ht="14.2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ht="14.2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ht="14.2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ht="14.2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ht="14.2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ht="14.2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ht="14.2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ht="14.2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ht="14.2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ht="14.2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ht="14.2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ht="14.2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ht="14.2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ht="14.2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ht="14.2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ht="14.2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ht="14.2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ht="14.2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ht="14.2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ht="14.2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ht="14.2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ht="14.2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ht="14.2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ht="14.2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ht="14.2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ht="14.2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ht="14.2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ht="14.2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ht="14.2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ht="14.2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ht="14.2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ht="14.2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ht="14.2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ht="14.2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ht="14.2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ht="14.2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ht="14.2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ht="14.2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ht="14.2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ht="14.2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ht="14.2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ht="14.2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ht="14.2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ht="14.2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ht="14.2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4.2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4.2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4.2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4.2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4.2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4.2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4.2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4.2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4.2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4.2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4.2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4.2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4.2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4.2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4.2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4.2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4.2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4.2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4.2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4.2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4.2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4.2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4.2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4.2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4.2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4.2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4.2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4.2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4.2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4.2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4.2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4.2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4.2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4.2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4.2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4.2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4.2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4.2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4.2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4.2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4.2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4.2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4.2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4.2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4.2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4.2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4.2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4.2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4.2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4.2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4.2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4.2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4.2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4.2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4.2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4.2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4.2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4.2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4.2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4.2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4.2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4.2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4.2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4.2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4.2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4.2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4.2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4.2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4.2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4.2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4.2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4.2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4.2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4.2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4.2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4.2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4.2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4.2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4.2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4.2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4.2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4.2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4.2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4.2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4.2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4.2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4.2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4.2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4.2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4.2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4.2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4.2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4.2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4.2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4.2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4.2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4.2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4.2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4.2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4.2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4.2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4.2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4.2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4.2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4.2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4.2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4.2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4.2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4.2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4.2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4.2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4.2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4.2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4.2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4.2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4.2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4.2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4.2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4.2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4.2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4.2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4.2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4.2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4.2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4.2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4.2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4.2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4.2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4.2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4.2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4.2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4.2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4.2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4.2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4.2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4.2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4.2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4.2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4.2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4.2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4.2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4.2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4.2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4.2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4.2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4.2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4.2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4.2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4.2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4.2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4.2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4.2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4.2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4.2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4.2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4.2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4.2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4.2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4.2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4.2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4.2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4.2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4.2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4.2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4.2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4.2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4.2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4.2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4.2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4.2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4.2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4.2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4.2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4.2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4.2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4.2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4.2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4.2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4.2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4.2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4.2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4.2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4.2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4.2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4.2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4.2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4.2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4.2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4.2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4.2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4.2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4.2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4.2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4.2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4.2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4.2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4.2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4.2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4.2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4.2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4.2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4.2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4.2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4.2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4.2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4.2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4.2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4.2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4.2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4.2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4.2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4.2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4.2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4.2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4.2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4.2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4.2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4.2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4.2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4.2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4.2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4.2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4.2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4.2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4.2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4.2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4.2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4.2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4.2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4.2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4.2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4.2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4.2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4.2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4.2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4.2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4.2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4.2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4.2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4.2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4.2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4.2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4.2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4.2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4.2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4.2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4.2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4.2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4.2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4.2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4.2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4.2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4.2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4.2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4.2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4.2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4.2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4.2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4.2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4.2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4.2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4.2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4.2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4.2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4.2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4.2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4.2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4.2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4.2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4.2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4.2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4.2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4.2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4.2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4.2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4.2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4.2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4.2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4.2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4.2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4.2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4.2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4.2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4.2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4.2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4.2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4.2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4.2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4.2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4.2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4.2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4.2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4.2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4.2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4.2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4.2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4.2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4.2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4.2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4.2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4.2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4.2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4.2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4.2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4.2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4.2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4.2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4.2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4.2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4.2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4.2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4.2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4.2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4.2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4.2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4.2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4.2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4.2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4.2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4.2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4.2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4.2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4.2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4.2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4.2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4.2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4.2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4.2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4.2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4.2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4.2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4.2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4.2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4.2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4.2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4.2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4.2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4.2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4.2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4.2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4.2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4.2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4.2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4.2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4.2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4.2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4.2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4.2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4.2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4.2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4.2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4.2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4.2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4.2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4.2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4.2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4.2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4.2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4.2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4.2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4.2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4.2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4.2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4.2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4.2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4.2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4.2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4.2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4.2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4.2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4.2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4.2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4.2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4.2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4.2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4.2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4.2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4.2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4.2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4.2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4.2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4.2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4.2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4.2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4.2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4.2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4.2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4.2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4.2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4.2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4.2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4.2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4.2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4.2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4.2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4.2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4.2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4.2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4.2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4.2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4.2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4.2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4.2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4.2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4.2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4.2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4.2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4.2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4.2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4.2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4.2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4.2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4.2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4.2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4.2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4.2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4.2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4.2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4.2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4.2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4.2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4.2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4.2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4.2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4.2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4.2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4.2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4.2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4.2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4.2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4.2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4.2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4.2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4.2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4.2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4.2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4.2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4.2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4.2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4.2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4.2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4.2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4.2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4.2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4.2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4.2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4.2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4.2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4.2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4.2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4.2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4.2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4.2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4.2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4.2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4.2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4.2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4.2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4.2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4.2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4.2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4.2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4.2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4.2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4.2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4.2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4.2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4.2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4.2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4.2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4.2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4.2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4.2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4.2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4.2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4.2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4.2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4.2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4.2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4.2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4.2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4.2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ht="14.2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ht="14.2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ht="14.2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ht="14.2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ht="14.2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ht="14.2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ht="15.0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ht="15.0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ht="15.0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ht="15.0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ht="15.0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ht="15.0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  <row r="1001" ht="15.0" customHeight="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</row>
    <row r="1002" ht="15.0" customHeight="1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  <row r="1003" ht="15.0" customHeight="1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</row>
    <row r="1004" ht="15.0" customHeight="1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</row>
    <row r="1005" ht="15.0" customHeight="1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</row>
    <row r="1006" ht="15.0" customHeight="1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</row>
    <row r="1007" ht="15.0" customHeight="1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</row>
    <row r="1008" ht="15.0" customHeight="1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5.5"/>
    <col customWidth="1" min="3" max="3" width="17.38"/>
    <col customWidth="1" min="4" max="4" width="26.13"/>
    <col customWidth="1" min="5" max="5" width="8.25"/>
    <col customWidth="1" min="6" max="6" width="3.75"/>
    <col customWidth="1" min="7" max="8" width="32.63"/>
    <col customWidth="1" min="9" max="9" width="9.75"/>
    <col customWidth="1" min="10" max="10" width="50.5"/>
    <col customWidth="1" min="11" max="26" width="5.88"/>
  </cols>
  <sheetData>
    <row r="1" ht="14.25" customHeight="1">
      <c r="A1" s="105"/>
      <c r="B1" s="105"/>
      <c r="C1" s="106"/>
      <c r="D1" s="105"/>
      <c r="E1" s="105"/>
      <c r="F1" s="105"/>
      <c r="G1" s="105"/>
      <c r="H1" s="106"/>
      <c r="I1" s="107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57.5" customHeight="1">
      <c r="A2" s="105"/>
      <c r="B2" s="106" t="s">
        <v>427</v>
      </c>
      <c r="I2" s="107"/>
      <c r="J2" s="108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42.0" customHeight="1">
      <c r="A3" s="105"/>
      <c r="B3" s="106"/>
      <c r="C3" s="106"/>
      <c r="D3" s="106"/>
      <c r="E3" s="106"/>
      <c r="F3" s="106"/>
      <c r="G3" s="106"/>
      <c r="H3" s="106"/>
      <c r="I3" s="107"/>
      <c r="J3" s="108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34.5" customHeight="1">
      <c r="A4" s="105"/>
      <c r="B4" s="109" t="s">
        <v>428</v>
      </c>
      <c r="C4" s="110"/>
      <c r="D4" s="110"/>
      <c r="E4" s="110"/>
      <c r="F4" s="110"/>
      <c r="G4" s="110"/>
      <c r="H4" s="111"/>
      <c r="I4" s="112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42.0" customHeight="1">
      <c r="A5" s="105"/>
      <c r="B5" s="113"/>
      <c r="C5" s="114" t="s">
        <v>213</v>
      </c>
      <c r="D5" s="115" t="s">
        <v>429</v>
      </c>
      <c r="E5" s="110"/>
      <c r="F5" s="110"/>
      <c r="G5" s="110"/>
      <c r="H5" s="111"/>
      <c r="I5" s="114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8.75" customHeight="1">
      <c r="A6" s="105"/>
      <c r="B6" s="113" t="s">
        <v>118</v>
      </c>
      <c r="C6" s="116" t="s">
        <v>100</v>
      </c>
      <c r="D6" s="116" t="s">
        <v>101</v>
      </c>
      <c r="E6" s="116" t="s">
        <v>102</v>
      </c>
      <c r="F6" s="116" t="s">
        <v>103</v>
      </c>
      <c r="G6" s="116" t="s">
        <v>104</v>
      </c>
      <c r="H6" s="117" t="s">
        <v>105</v>
      </c>
      <c r="I6" s="116" t="s">
        <v>106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28.25" hidden="1" customHeight="1">
      <c r="A7" s="105">
        <v>1.0</v>
      </c>
      <c r="B7" s="113" t="s">
        <v>430</v>
      </c>
      <c r="C7" s="107" t="s">
        <v>431</v>
      </c>
      <c r="D7" s="106" t="s">
        <v>432</v>
      </c>
      <c r="E7" s="107" t="s">
        <v>433</v>
      </c>
      <c r="F7" s="105" t="s">
        <v>434</v>
      </c>
      <c r="G7" s="105" t="s">
        <v>435</v>
      </c>
      <c r="H7" s="106" t="s">
        <v>436</v>
      </c>
      <c r="I7" s="107" t="s">
        <v>13</v>
      </c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28.25" hidden="1" customHeight="1">
      <c r="A8" s="105">
        <v>1.0</v>
      </c>
      <c r="B8" s="113" t="s">
        <v>430</v>
      </c>
      <c r="C8" s="107"/>
      <c r="D8" s="106"/>
      <c r="E8" s="107"/>
      <c r="F8" s="105" t="s">
        <v>437</v>
      </c>
      <c r="G8" s="105" t="s">
        <v>438</v>
      </c>
      <c r="H8" s="106"/>
      <c r="I8" s="107" t="s">
        <v>13</v>
      </c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60.5" hidden="1" customHeight="1">
      <c r="A9" s="105">
        <v>1.0</v>
      </c>
      <c r="B9" s="113" t="s">
        <v>430</v>
      </c>
      <c r="C9" s="107"/>
      <c r="D9" s="106"/>
      <c r="E9" s="107"/>
      <c r="F9" s="107" t="s">
        <v>439</v>
      </c>
      <c r="G9" s="106" t="s">
        <v>440</v>
      </c>
      <c r="H9" s="106" t="s">
        <v>441</v>
      </c>
      <c r="I9" s="107" t="s">
        <v>13</v>
      </c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8.0" hidden="1" customHeight="1">
      <c r="A10" s="105">
        <v>1.0</v>
      </c>
      <c r="B10" s="113" t="s">
        <v>430</v>
      </c>
      <c r="C10" s="107"/>
      <c r="D10" s="106"/>
      <c r="E10" s="107"/>
      <c r="F10" s="107"/>
      <c r="G10" s="106"/>
      <c r="H10" s="106"/>
      <c r="I10" s="107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74.75" customHeight="1">
      <c r="A11" s="107">
        <v>1.0</v>
      </c>
      <c r="B11" s="118" t="s">
        <v>430</v>
      </c>
      <c r="C11" s="107" t="s">
        <v>215</v>
      </c>
      <c r="D11" s="105" t="s">
        <v>442</v>
      </c>
      <c r="E11" s="107" t="s">
        <v>433</v>
      </c>
      <c r="F11" s="107" t="s">
        <v>434</v>
      </c>
      <c r="G11" s="106" t="s">
        <v>443</v>
      </c>
      <c r="H11" s="106" t="s">
        <v>444</v>
      </c>
      <c r="I11" s="107" t="s">
        <v>12</v>
      </c>
      <c r="J11" s="119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4.25" customHeight="1">
      <c r="B12" s="70"/>
      <c r="C12" s="107"/>
      <c r="D12" s="105"/>
      <c r="E12" s="107"/>
      <c r="F12" s="107"/>
      <c r="G12" s="106" t="s">
        <v>219</v>
      </c>
      <c r="H12" s="106"/>
      <c r="I12" s="107"/>
      <c r="J12" s="119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53.75" customHeight="1">
      <c r="B13" s="70"/>
      <c r="C13" s="107"/>
      <c r="D13" s="105"/>
      <c r="E13" s="107"/>
      <c r="F13" s="107" t="s">
        <v>439</v>
      </c>
      <c r="G13" s="106" t="s">
        <v>445</v>
      </c>
      <c r="H13" s="106" t="s">
        <v>446</v>
      </c>
      <c r="I13" s="107" t="s">
        <v>12</v>
      </c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28.5" customHeight="1">
      <c r="B14" s="70"/>
      <c r="C14" s="107"/>
      <c r="D14" s="106" t="s">
        <v>222</v>
      </c>
      <c r="E14" s="107"/>
      <c r="F14" s="107" t="s">
        <v>46</v>
      </c>
      <c r="G14" s="105" t="s">
        <v>447</v>
      </c>
      <c r="H14" s="106" t="s">
        <v>448</v>
      </c>
      <c r="I14" s="107" t="s">
        <v>211</v>
      </c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4.25" customHeight="1">
      <c r="B15" s="74"/>
      <c r="C15" s="107"/>
      <c r="D15" s="106"/>
      <c r="E15" s="107"/>
      <c r="F15" s="107"/>
      <c r="G15" s="105" t="s">
        <v>449</v>
      </c>
      <c r="H15" s="106"/>
      <c r="I15" s="107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42.0" customHeight="1">
      <c r="A16" s="105"/>
      <c r="B16" s="113"/>
      <c r="C16" s="114" t="s">
        <v>213</v>
      </c>
      <c r="D16" s="115" t="s">
        <v>225</v>
      </c>
      <c r="E16" s="110"/>
      <c r="F16" s="110"/>
      <c r="G16" s="110"/>
      <c r="H16" s="111"/>
      <c r="I16" s="114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8.75" customHeight="1">
      <c r="A17" s="105"/>
      <c r="B17" s="113" t="s">
        <v>118</v>
      </c>
      <c r="C17" s="116" t="s">
        <v>100</v>
      </c>
      <c r="D17" s="116" t="s">
        <v>101</v>
      </c>
      <c r="E17" s="116" t="s">
        <v>102</v>
      </c>
      <c r="F17" s="116" t="s">
        <v>103</v>
      </c>
      <c r="G17" s="116" t="s">
        <v>104</v>
      </c>
      <c r="H17" s="117" t="s">
        <v>105</v>
      </c>
      <c r="I17" s="116" t="s">
        <v>106</v>
      </c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4.25" customHeight="1">
      <c r="A18" s="107">
        <v>2.0</v>
      </c>
      <c r="B18" s="118" t="s">
        <v>78</v>
      </c>
      <c r="C18" s="107" t="s">
        <v>79</v>
      </c>
      <c r="D18" s="106" t="s">
        <v>226</v>
      </c>
      <c r="E18" s="107" t="s">
        <v>433</v>
      </c>
      <c r="F18" s="107" t="s">
        <v>450</v>
      </c>
      <c r="G18" s="105" t="s">
        <v>227</v>
      </c>
      <c r="H18" s="106" t="s">
        <v>228</v>
      </c>
      <c r="I18" s="107" t="s">
        <v>13</v>
      </c>
      <c r="J18" s="120" t="s">
        <v>451</v>
      </c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42.75" customHeight="1">
      <c r="B19" s="70"/>
      <c r="C19" s="107"/>
      <c r="D19" s="106"/>
      <c r="E19" s="107"/>
      <c r="F19" s="107"/>
      <c r="G19" s="105" t="s">
        <v>452</v>
      </c>
      <c r="H19" s="106"/>
      <c r="I19" s="107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4.25" customHeight="1">
      <c r="B20" s="70"/>
      <c r="C20" s="107"/>
      <c r="D20" s="106"/>
      <c r="E20" s="107"/>
      <c r="F20" s="105" t="s">
        <v>453</v>
      </c>
      <c r="G20" s="105" t="s">
        <v>230</v>
      </c>
      <c r="H20" s="106" t="s">
        <v>231</v>
      </c>
      <c r="I20" s="107" t="s">
        <v>13</v>
      </c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4.25" customHeight="1">
      <c r="B21" s="74"/>
      <c r="C21" s="107"/>
      <c r="D21" s="106"/>
      <c r="E21" s="107"/>
      <c r="F21" s="105" t="s">
        <v>439</v>
      </c>
      <c r="G21" s="105" t="s">
        <v>232</v>
      </c>
      <c r="H21" s="106"/>
      <c r="I21" s="107" t="s">
        <v>13</v>
      </c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4.25" customHeight="1">
      <c r="A22" s="107">
        <v>3.0</v>
      </c>
      <c r="B22" s="118" t="s">
        <v>81</v>
      </c>
      <c r="C22" s="107" t="s">
        <v>82</v>
      </c>
      <c r="D22" s="107" t="s">
        <v>83</v>
      </c>
      <c r="E22" s="107" t="s">
        <v>433</v>
      </c>
      <c r="F22" s="105" t="s">
        <v>450</v>
      </c>
      <c r="G22" s="105" t="s">
        <v>454</v>
      </c>
      <c r="H22" s="106" t="s">
        <v>234</v>
      </c>
      <c r="I22" s="107" t="s">
        <v>13</v>
      </c>
      <c r="J22" s="105" t="s">
        <v>455</v>
      </c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4.25" customHeight="1">
      <c r="B23" s="70"/>
      <c r="C23" s="107"/>
      <c r="D23" s="107"/>
      <c r="E23" s="107"/>
      <c r="F23" s="105" t="s">
        <v>456</v>
      </c>
      <c r="G23" s="105" t="s">
        <v>457</v>
      </c>
      <c r="H23" s="106"/>
      <c r="I23" s="107" t="s">
        <v>13</v>
      </c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4.25" customHeight="1">
      <c r="B24" s="70"/>
      <c r="C24" s="107"/>
      <c r="D24" s="107"/>
      <c r="E24" s="107"/>
      <c r="F24" s="105" t="s">
        <v>439</v>
      </c>
      <c r="G24" s="105" t="s">
        <v>236</v>
      </c>
      <c r="H24" s="106"/>
      <c r="I24" s="107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30.0" customHeight="1">
      <c r="B25" s="70"/>
      <c r="C25" s="107" t="s">
        <v>84</v>
      </c>
      <c r="D25" s="106" t="s">
        <v>85</v>
      </c>
      <c r="E25" s="107" t="s">
        <v>433</v>
      </c>
      <c r="F25" s="107" t="s">
        <v>450</v>
      </c>
      <c r="G25" s="105" t="s">
        <v>238</v>
      </c>
      <c r="H25" s="106" t="s">
        <v>239</v>
      </c>
      <c r="I25" s="107" t="s">
        <v>13</v>
      </c>
      <c r="J25" s="121" t="s">
        <v>458</v>
      </c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4.25" customHeight="1">
      <c r="B26" s="70"/>
      <c r="C26" s="122"/>
      <c r="D26" s="106"/>
      <c r="E26" s="107"/>
      <c r="F26" s="107"/>
      <c r="G26" s="105" t="s">
        <v>240</v>
      </c>
      <c r="H26" s="106"/>
      <c r="I26" s="107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4.25" customHeight="1">
      <c r="B27" s="70"/>
      <c r="C27" s="122"/>
      <c r="D27" s="106"/>
      <c r="E27" s="107"/>
      <c r="F27" s="107" t="s">
        <v>456</v>
      </c>
      <c r="G27" s="105" t="s">
        <v>241</v>
      </c>
      <c r="H27" s="106" t="s">
        <v>242</v>
      </c>
      <c r="I27" s="107" t="s">
        <v>13</v>
      </c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4.25" customHeight="1">
      <c r="B28" s="70"/>
      <c r="C28" s="122"/>
      <c r="D28" s="106"/>
      <c r="E28" s="107"/>
      <c r="F28" s="107"/>
      <c r="G28" s="105" t="s">
        <v>243</v>
      </c>
      <c r="H28" s="106"/>
      <c r="I28" s="107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4.25" customHeight="1">
      <c r="B29" s="70"/>
      <c r="C29" s="122"/>
      <c r="D29" s="106"/>
      <c r="E29" s="107"/>
      <c r="F29" s="107" t="s">
        <v>439</v>
      </c>
      <c r="G29" s="105" t="s">
        <v>244</v>
      </c>
      <c r="H29" s="106"/>
      <c r="I29" s="107" t="s">
        <v>13</v>
      </c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59.0" customHeight="1">
      <c r="B30" s="70"/>
      <c r="C30" s="107" t="s">
        <v>86</v>
      </c>
      <c r="D30" s="107" t="s">
        <v>87</v>
      </c>
      <c r="E30" s="107" t="s">
        <v>433</v>
      </c>
      <c r="F30" s="105" t="s">
        <v>459</v>
      </c>
      <c r="G30" s="105" t="s">
        <v>245</v>
      </c>
      <c r="H30" s="106"/>
      <c r="I30" s="107" t="s">
        <v>13</v>
      </c>
      <c r="J30" s="106" t="s">
        <v>460</v>
      </c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59.0" customHeight="1">
      <c r="B31" s="70"/>
      <c r="C31" s="107"/>
      <c r="D31" s="107"/>
      <c r="E31" s="107"/>
      <c r="F31" s="105" t="s">
        <v>456</v>
      </c>
      <c r="G31" s="105" t="s">
        <v>246</v>
      </c>
      <c r="H31" s="106"/>
      <c r="I31" s="107" t="s">
        <v>13</v>
      </c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4.25" customHeight="1">
      <c r="B32" s="74"/>
      <c r="C32" s="107"/>
      <c r="D32" s="107"/>
      <c r="E32" s="107"/>
      <c r="F32" s="105" t="s">
        <v>439</v>
      </c>
      <c r="G32" s="105" t="s">
        <v>461</v>
      </c>
      <c r="H32" s="106" t="s">
        <v>249</v>
      </c>
      <c r="I32" s="107" t="s">
        <v>13</v>
      </c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4.25" customHeight="1">
      <c r="A33" s="105"/>
      <c r="B33" s="105"/>
      <c r="C33" s="106"/>
      <c r="D33" s="105"/>
      <c r="E33" s="105"/>
      <c r="F33" s="105"/>
      <c r="G33" s="105"/>
      <c r="H33" s="106"/>
      <c r="I33" s="107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4.25" customHeight="1">
      <c r="A34" s="105"/>
      <c r="B34" s="105"/>
      <c r="C34" s="106"/>
      <c r="D34" s="105"/>
      <c r="E34" s="105"/>
      <c r="F34" s="105"/>
      <c r="G34" s="105"/>
      <c r="H34" s="106"/>
      <c r="I34" s="107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4.25" customHeight="1">
      <c r="A35" s="105"/>
      <c r="B35" s="105"/>
      <c r="C35" s="106"/>
      <c r="D35" s="105"/>
      <c r="E35" s="105"/>
      <c r="F35" s="105"/>
      <c r="G35" s="105"/>
      <c r="H35" s="106"/>
      <c r="I35" s="107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4.25" customHeight="1">
      <c r="A36" s="105"/>
      <c r="B36" s="105"/>
      <c r="C36" s="106"/>
      <c r="D36" s="105"/>
      <c r="E36" s="105"/>
      <c r="F36" s="105"/>
      <c r="G36" s="105"/>
      <c r="H36" s="106"/>
      <c r="I36" s="107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4.25" customHeight="1">
      <c r="A37" s="105"/>
      <c r="B37" s="105"/>
      <c r="C37" s="106"/>
      <c r="D37" s="105"/>
      <c r="E37" s="105"/>
      <c r="F37" s="105"/>
      <c r="G37" s="105"/>
      <c r="H37" s="106"/>
      <c r="I37" s="107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4.25" customHeight="1">
      <c r="A38" s="105"/>
      <c r="B38" s="105"/>
      <c r="C38" s="106"/>
      <c r="D38" s="105"/>
      <c r="E38" s="105"/>
      <c r="F38" s="105"/>
      <c r="G38" s="105"/>
      <c r="H38" s="106"/>
      <c r="I38" s="107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4.25" customHeight="1">
      <c r="A39" s="105"/>
      <c r="B39" s="105"/>
      <c r="C39" s="106"/>
      <c r="D39" s="105"/>
      <c r="E39" s="105"/>
      <c r="F39" s="105"/>
      <c r="G39" s="105"/>
      <c r="H39" s="106"/>
      <c r="I39" s="107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4.25" customHeight="1">
      <c r="A40" s="105"/>
      <c r="B40" s="105"/>
      <c r="C40" s="106"/>
      <c r="D40" s="105"/>
      <c r="E40" s="105"/>
      <c r="F40" s="105"/>
      <c r="G40" s="105"/>
      <c r="H40" s="106"/>
      <c r="I40" s="107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4.25" customHeight="1">
      <c r="A41" s="105"/>
      <c r="B41" s="105"/>
      <c r="C41" s="106"/>
      <c r="D41" s="105"/>
      <c r="E41" s="105"/>
      <c r="F41" s="105"/>
      <c r="G41" s="105"/>
      <c r="H41" s="106"/>
      <c r="I41" s="107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4.25" customHeight="1">
      <c r="A42" s="105"/>
      <c r="B42" s="105"/>
      <c r="C42" s="106"/>
      <c r="D42" s="105"/>
      <c r="E42" s="105"/>
      <c r="F42" s="105"/>
      <c r="G42" s="105"/>
      <c r="H42" s="106"/>
      <c r="I42" s="107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4.25" customHeight="1">
      <c r="A43" s="105"/>
      <c r="B43" s="105"/>
      <c r="C43" s="106"/>
      <c r="D43" s="105"/>
      <c r="E43" s="105"/>
      <c r="F43" s="105"/>
      <c r="G43" s="105"/>
      <c r="H43" s="106"/>
      <c r="I43" s="107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4.25" customHeight="1">
      <c r="A44" s="105"/>
      <c r="B44" s="105"/>
      <c r="C44" s="106"/>
      <c r="D44" s="105"/>
      <c r="E44" s="105"/>
      <c r="F44" s="105"/>
      <c r="G44" s="105"/>
      <c r="H44" s="106"/>
      <c r="I44" s="107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4.25" customHeight="1">
      <c r="A45" s="105"/>
      <c r="B45" s="105"/>
      <c r="C45" s="106"/>
      <c r="D45" s="105"/>
      <c r="E45" s="105"/>
      <c r="F45" s="105"/>
      <c r="G45" s="105"/>
      <c r="H45" s="106"/>
      <c r="I45" s="107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4.25" customHeight="1">
      <c r="A46" s="105"/>
      <c r="B46" s="105"/>
      <c r="C46" s="106"/>
      <c r="D46" s="105"/>
      <c r="E46" s="105"/>
      <c r="F46" s="105"/>
      <c r="G46" s="105"/>
      <c r="H46" s="106"/>
      <c r="I46" s="107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4.25" customHeight="1">
      <c r="A47" s="105"/>
      <c r="B47" s="105"/>
      <c r="C47" s="106"/>
      <c r="D47" s="105"/>
      <c r="E47" s="105"/>
      <c r="F47" s="105"/>
      <c r="G47" s="105"/>
      <c r="H47" s="106"/>
      <c r="I47" s="107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4.25" customHeight="1">
      <c r="A48" s="105"/>
      <c r="B48" s="105"/>
      <c r="C48" s="106"/>
      <c r="D48" s="105"/>
      <c r="E48" s="105"/>
      <c r="F48" s="105"/>
      <c r="G48" s="105"/>
      <c r="H48" s="106"/>
      <c r="I48" s="107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4.25" customHeight="1">
      <c r="A49" s="105"/>
      <c r="B49" s="105"/>
      <c r="C49" s="106"/>
      <c r="D49" s="105"/>
      <c r="E49" s="105"/>
      <c r="F49" s="105"/>
      <c r="G49" s="105"/>
      <c r="H49" s="106"/>
      <c r="I49" s="107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4.25" customHeight="1">
      <c r="A50" s="105"/>
      <c r="B50" s="105"/>
      <c r="C50" s="106"/>
      <c r="D50" s="105"/>
      <c r="E50" s="105"/>
      <c r="F50" s="105"/>
      <c r="G50" s="105"/>
      <c r="H50" s="106"/>
      <c r="I50" s="107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4.25" customHeight="1">
      <c r="A51" s="105"/>
      <c r="B51" s="105"/>
      <c r="C51" s="106"/>
      <c r="D51" s="105"/>
      <c r="E51" s="105"/>
      <c r="F51" s="105"/>
      <c r="G51" s="105"/>
      <c r="H51" s="106"/>
      <c r="I51" s="107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4.25" customHeight="1">
      <c r="A52" s="105"/>
      <c r="B52" s="105"/>
      <c r="C52" s="106"/>
      <c r="D52" s="105"/>
      <c r="E52" s="105"/>
      <c r="F52" s="105"/>
      <c r="G52" s="105"/>
      <c r="H52" s="106"/>
      <c r="I52" s="107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4.25" customHeight="1">
      <c r="A53" s="105"/>
      <c r="B53" s="105"/>
      <c r="C53" s="106"/>
      <c r="D53" s="105"/>
      <c r="E53" s="105"/>
      <c r="F53" s="105"/>
      <c r="G53" s="105"/>
      <c r="H53" s="106"/>
      <c r="I53" s="107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4.25" customHeight="1">
      <c r="A54" s="105"/>
      <c r="B54" s="105"/>
      <c r="C54" s="106"/>
      <c r="D54" s="105"/>
      <c r="E54" s="105"/>
      <c r="F54" s="105"/>
      <c r="G54" s="105"/>
      <c r="H54" s="106"/>
      <c r="I54" s="107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4.25" customHeight="1">
      <c r="A55" s="105"/>
      <c r="B55" s="105"/>
      <c r="C55" s="106"/>
      <c r="D55" s="105"/>
      <c r="E55" s="105"/>
      <c r="F55" s="105"/>
      <c r="G55" s="105"/>
      <c r="H55" s="106"/>
      <c r="I55" s="107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4.25" customHeight="1">
      <c r="A56" s="105"/>
      <c r="B56" s="105"/>
      <c r="C56" s="106"/>
      <c r="D56" s="105"/>
      <c r="E56" s="105"/>
      <c r="F56" s="105"/>
      <c r="G56" s="105"/>
      <c r="H56" s="106"/>
      <c r="I56" s="107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4.25" customHeight="1">
      <c r="A57" s="105"/>
      <c r="B57" s="105"/>
      <c r="C57" s="106"/>
      <c r="D57" s="105"/>
      <c r="E57" s="105"/>
      <c r="F57" s="105"/>
      <c r="G57" s="105"/>
      <c r="H57" s="106"/>
      <c r="I57" s="107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4.25" customHeight="1">
      <c r="A58" s="105"/>
      <c r="B58" s="105"/>
      <c r="C58" s="106"/>
      <c r="D58" s="105"/>
      <c r="E58" s="105"/>
      <c r="F58" s="105"/>
      <c r="G58" s="105"/>
      <c r="H58" s="106"/>
      <c r="I58" s="107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4.25" customHeight="1">
      <c r="A59" s="105"/>
      <c r="B59" s="105"/>
      <c r="C59" s="106"/>
      <c r="D59" s="105"/>
      <c r="E59" s="105"/>
      <c r="F59" s="105"/>
      <c r="G59" s="105"/>
      <c r="H59" s="106"/>
      <c r="I59" s="107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4.25" customHeight="1">
      <c r="A60" s="105"/>
      <c r="B60" s="105"/>
      <c r="C60" s="106"/>
      <c r="D60" s="105"/>
      <c r="E60" s="105"/>
      <c r="F60" s="105"/>
      <c r="G60" s="105"/>
      <c r="H60" s="106"/>
      <c r="I60" s="107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4.25" customHeight="1">
      <c r="A61" s="105"/>
      <c r="B61" s="105"/>
      <c r="C61" s="106"/>
      <c r="D61" s="105"/>
      <c r="E61" s="105"/>
      <c r="F61" s="105"/>
      <c r="G61" s="105"/>
      <c r="H61" s="106"/>
      <c r="I61" s="107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4.25" customHeight="1">
      <c r="A62" s="105"/>
      <c r="B62" s="105"/>
      <c r="C62" s="106"/>
      <c r="D62" s="105"/>
      <c r="E62" s="105"/>
      <c r="F62" s="105"/>
      <c r="G62" s="105"/>
      <c r="H62" s="106"/>
      <c r="I62" s="107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4.25" customHeight="1">
      <c r="A63" s="105"/>
      <c r="B63" s="105"/>
      <c r="C63" s="106"/>
      <c r="D63" s="105"/>
      <c r="E63" s="105"/>
      <c r="F63" s="105"/>
      <c r="G63" s="105"/>
      <c r="H63" s="106"/>
      <c r="I63" s="107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4.25" customHeight="1">
      <c r="A64" s="105"/>
      <c r="B64" s="105"/>
      <c r="C64" s="106"/>
      <c r="D64" s="105"/>
      <c r="E64" s="105"/>
      <c r="F64" s="105"/>
      <c r="G64" s="105"/>
      <c r="H64" s="106"/>
      <c r="I64" s="107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4.25" customHeight="1">
      <c r="A65" s="105"/>
      <c r="B65" s="105"/>
      <c r="C65" s="106"/>
      <c r="D65" s="105"/>
      <c r="E65" s="105"/>
      <c r="F65" s="105"/>
      <c r="G65" s="105"/>
      <c r="H65" s="106"/>
      <c r="I65" s="107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4.25" customHeight="1">
      <c r="A66" s="105"/>
      <c r="B66" s="105"/>
      <c r="C66" s="106"/>
      <c r="D66" s="105"/>
      <c r="E66" s="105"/>
      <c r="F66" s="105"/>
      <c r="G66" s="105"/>
      <c r="H66" s="106"/>
      <c r="I66" s="107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4.25" customHeight="1">
      <c r="A67" s="105"/>
      <c r="B67" s="105"/>
      <c r="C67" s="106"/>
      <c r="D67" s="105"/>
      <c r="E67" s="105"/>
      <c r="F67" s="105"/>
      <c r="G67" s="105"/>
      <c r="H67" s="106"/>
      <c r="I67" s="107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4.25" customHeight="1">
      <c r="A68" s="105"/>
      <c r="B68" s="105"/>
      <c r="C68" s="106"/>
      <c r="D68" s="105"/>
      <c r="E68" s="105"/>
      <c r="F68" s="105"/>
      <c r="G68" s="105"/>
      <c r="H68" s="106"/>
      <c r="I68" s="107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4.25" customHeight="1">
      <c r="A69" s="105"/>
      <c r="B69" s="105"/>
      <c r="C69" s="106"/>
      <c r="D69" s="105"/>
      <c r="E69" s="105"/>
      <c r="F69" s="105"/>
      <c r="G69" s="105"/>
      <c r="H69" s="106"/>
      <c r="I69" s="107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4.25" customHeight="1">
      <c r="A70" s="105"/>
      <c r="B70" s="105"/>
      <c r="C70" s="106"/>
      <c r="D70" s="105"/>
      <c r="E70" s="105"/>
      <c r="F70" s="105"/>
      <c r="G70" s="105"/>
      <c r="H70" s="106"/>
      <c r="I70" s="107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4.25" customHeight="1">
      <c r="A71" s="105"/>
      <c r="B71" s="105"/>
      <c r="C71" s="106"/>
      <c r="D71" s="105"/>
      <c r="E71" s="105"/>
      <c r="F71" s="105"/>
      <c r="G71" s="105"/>
      <c r="H71" s="106"/>
      <c r="I71" s="107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4.25" customHeight="1">
      <c r="A72" s="105"/>
      <c r="B72" s="105"/>
      <c r="C72" s="106"/>
      <c r="D72" s="105"/>
      <c r="E72" s="105"/>
      <c r="F72" s="105"/>
      <c r="G72" s="105"/>
      <c r="H72" s="106"/>
      <c r="I72" s="107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4.25" customHeight="1">
      <c r="A73" s="105"/>
      <c r="B73" s="105"/>
      <c r="C73" s="106"/>
      <c r="D73" s="105"/>
      <c r="E73" s="105"/>
      <c r="F73" s="105"/>
      <c r="G73" s="105"/>
      <c r="H73" s="106"/>
      <c r="I73" s="107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4.25" customHeight="1">
      <c r="A74" s="105"/>
      <c r="B74" s="105"/>
      <c r="C74" s="106"/>
      <c r="D74" s="105"/>
      <c r="E74" s="105"/>
      <c r="F74" s="105"/>
      <c r="G74" s="105"/>
      <c r="H74" s="106"/>
      <c r="I74" s="107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4.25" customHeight="1">
      <c r="A75" s="105"/>
      <c r="B75" s="105"/>
      <c r="C75" s="106"/>
      <c r="D75" s="105"/>
      <c r="E75" s="105"/>
      <c r="F75" s="105"/>
      <c r="G75" s="105"/>
      <c r="H75" s="106"/>
      <c r="I75" s="107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4.25" customHeight="1">
      <c r="A76" s="105"/>
      <c r="B76" s="105"/>
      <c r="C76" s="106"/>
      <c r="D76" s="105"/>
      <c r="E76" s="105"/>
      <c r="F76" s="105"/>
      <c r="G76" s="105"/>
      <c r="H76" s="106"/>
      <c r="I76" s="107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4.25" customHeight="1">
      <c r="A77" s="105"/>
      <c r="B77" s="105"/>
      <c r="C77" s="106"/>
      <c r="D77" s="105"/>
      <c r="E77" s="105"/>
      <c r="F77" s="105"/>
      <c r="G77" s="105"/>
      <c r="H77" s="106"/>
      <c r="I77" s="107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4.25" customHeight="1">
      <c r="A78" s="105"/>
      <c r="B78" s="105"/>
      <c r="C78" s="106"/>
      <c r="D78" s="105"/>
      <c r="E78" s="105"/>
      <c r="F78" s="105"/>
      <c r="G78" s="105"/>
      <c r="H78" s="106"/>
      <c r="I78" s="107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4.25" customHeight="1">
      <c r="A79" s="105"/>
      <c r="B79" s="105"/>
      <c r="C79" s="106"/>
      <c r="D79" s="105"/>
      <c r="E79" s="105"/>
      <c r="F79" s="105"/>
      <c r="G79" s="105"/>
      <c r="H79" s="106"/>
      <c r="I79" s="107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4.25" customHeight="1">
      <c r="A80" s="105"/>
      <c r="B80" s="105"/>
      <c r="C80" s="106"/>
      <c r="D80" s="105"/>
      <c r="E80" s="105"/>
      <c r="F80" s="105"/>
      <c r="G80" s="105"/>
      <c r="H80" s="106"/>
      <c r="I80" s="107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4.25" customHeight="1">
      <c r="A81" s="105"/>
      <c r="B81" s="105"/>
      <c r="C81" s="106"/>
      <c r="D81" s="105"/>
      <c r="E81" s="105"/>
      <c r="F81" s="105"/>
      <c r="G81" s="105"/>
      <c r="H81" s="106"/>
      <c r="I81" s="107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4.25" customHeight="1">
      <c r="A82" s="105"/>
      <c r="B82" s="105"/>
      <c r="C82" s="106"/>
      <c r="D82" s="105"/>
      <c r="E82" s="105"/>
      <c r="F82" s="105"/>
      <c r="G82" s="105"/>
      <c r="H82" s="106"/>
      <c r="I82" s="107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4.25" customHeight="1">
      <c r="A83" s="105"/>
      <c r="B83" s="105"/>
      <c r="C83" s="106"/>
      <c r="D83" s="105"/>
      <c r="E83" s="105"/>
      <c r="F83" s="105"/>
      <c r="G83" s="105"/>
      <c r="H83" s="106"/>
      <c r="I83" s="107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4.25" customHeight="1">
      <c r="A84" s="105"/>
      <c r="B84" s="105"/>
      <c r="C84" s="106"/>
      <c r="D84" s="105"/>
      <c r="E84" s="105"/>
      <c r="F84" s="105"/>
      <c r="G84" s="105"/>
      <c r="H84" s="106"/>
      <c r="I84" s="107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4.25" customHeight="1">
      <c r="A85" s="105"/>
      <c r="B85" s="105"/>
      <c r="C85" s="106"/>
      <c r="D85" s="105"/>
      <c r="E85" s="105"/>
      <c r="F85" s="105"/>
      <c r="G85" s="105"/>
      <c r="H85" s="106"/>
      <c r="I85" s="107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4.25" customHeight="1">
      <c r="A86" s="105"/>
      <c r="B86" s="105"/>
      <c r="C86" s="106"/>
      <c r="D86" s="105"/>
      <c r="E86" s="105"/>
      <c r="F86" s="105"/>
      <c r="G86" s="105"/>
      <c r="H86" s="106"/>
      <c r="I86" s="107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4.25" customHeight="1">
      <c r="A87" s="105"/>
      <c r="B87" s="105"/>
      <c r="C87" s="106"/>
      <c r="D87" s="105"/>
      <c r="E87" s="105"/>
      <c r="F87" s="105"/>
      <c r="G87" s="105"/>
      <c r="H87" s="106"/>
      <c r="I87" s="107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4.25" customHeight="1">
      <c r="A88" s="105"/>
      <c r="B88" s="105"/>
      <c r="C88" s="106"/>
      <c r="D88" s="105"/>
      <c r="E88" s="105"/>
      <c r="F88" s="105"/>
      <c r="G88" s="105"/>
      <c r="H88" s="106"/>
      <c r="I88" s="107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4.25" customHeight="1">
      <c r="A89" s="105"/>
      <c r="B89" s="105"/>
      <c r="C89" s="106"/>
      <c r="D89" s="105"/>
      <c r="E89" s="105"/>
      <c r="F89" s="105"/>
      <c r="G89" s="105"/>
      <c r="H89" s="106"/>
      <c r="I89" s="107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4.25" customHeight="1">
      <c r="A90" s="105"/>
      <c r="B90" s="105"/>
      <c r="C90" s="106"/>
      <c r="D90" s="105"/>
      <c r="E90" s="105"/>
      <c r="F90" s="105"/>
      <c r="G90" s="105"/>
      <c r="H90" s="106"/>
      <c r="I90" s="107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4.25" customHeight="1">
      <c r="A91" s="105"/>
      <c r="B91" s="105"/>
      <c r="C91" s="106"/>
      <c r="D91" s="105"/>
      <c r="E91" s="105"/>
      <c r="F91" s="105"/>
      <c r="G91" s="105"/>
      <c r="H91" s="106"/>
      <c r="I91" s="107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4.25" customHeight="1">
      <c r="A92" s="105"/>
      <c r="B92" s="105"/>
      <c r="C92" s="106"/>
      <c r="D92" s="105"/>
      <c r="E92" s="105"/>
      <c r="F92" s="105"/>
      <c r="G92" s="105"/>
      <c r="H92" s="106"/>
      <c r="I92" s="107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4.25" customHeight="1">
      <c r="A93" s="105"/>
      <c r="B93" s="105"/>
      <c r="C93" s="106"/>
      <c r="D93" s="105"/>
      <c r="E93" s="105"/>
      <c r="F93" s="105"/>
      <c r="G93" s="105"/>
      <c r="H93" s="106"/>
      <c r="I93" s="107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4.25" customHeight="1">
      <c r="A94" s="105"/>
      <c r="B94" s="105"/>
      <c r="C94" s="106"/>
      <c r="D94" s="105"/>
      <c r="E94" s="105"/>
      <c r="F94" s="105"/>
      <c r="G94" s="105"/>
      <c r="H94" s="106"/>
      <c r="I94" s="107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4.25" customHeight="1">
      <c r="A95" s="105"/>
      <c r="B95" s="105"/>
      <c r="C95" s="106"/>
      <c r="D95" s="105"/>
      <c r="E95" s="105"/>
      <c r="F95" s="105"/>
      <c r="G95" s="105"/>
      <c r="H95" s="106"/>
      <c r="I95" s="107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4.25" customHeight="1">
      <c r="A96" s="105"/>
      <c r="B96" s="105"/>
      <c r="C96" s="106"/>
      <c r="D96" s="105"/>
      <c r="E96" s="105"/>
      <c r="F96" s="105"/>
      <c r="G96" s="105"/>
      <c r="H96" s="106"/>
      <c r="I96" s="107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4.25" customHeight="1">
      <c r="A97" s="105"/>
      <c r="B97" s="105"/>
      <c r="C97" s="106"/>
      <c r="D97" s="105"/>
      <c r="E97" s="105"/>
      <c r="F97" s="105"/>
      <c r="G97" s="105"/>
      <c r="H97" s="106"/>
      <c r="I97" s="107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4.25" customHeight="1">
      <c r="A98" s="105"/>
      <c r="B98" s="105"/>
      <c r="C98" s="106"/>
      <c r="D98" s="105"/>
      <c r="E98" s="105"/>
      <c r="F98" s="105"/>
      <c r="G98" s="105"/>
      <c r="H98" s="106"/>
      <c r="I98" s="107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4.25" customHeight="1">
      <c r="A99" s="105"/>
      <c r="B99" s="105"/>
      <c r="C99" s="106"/>
      <c r="D99" s="105"/>
      <c r="E99" s="105"/>
      <c r="F99" s="105"/>
      <c r="G99" s="105"/>
      <c r="H99" s="106"/>
      <c r="I99" s="107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4.25" customHeight="1">
      <c r="A100" s="105"/>
      <c r="B100" s="105"/>
      <c r="C100" s="106"/>
      <c r="D100" s="105"/>
      <c r="E100" s="105"/>
      <c r="F100" s="105"/>
      <c r="G100" s="105"/>
      <c r="H100" s="106"/>
      <c r="I100" s="107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4.25" customHeight="1">
      <c r="A101" s="105"/>
      <c r="B101" s="105"/>
      <c r="C101" s="106"/>
      <c r="D101" s="105"/>
      <c r="E101" s="105"/>
      <c r="F101" s="105"/>
      <c r="G101" s="105"/>
      <c r="H101" s="106"/>
      <c r="I101" s="107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4.25" customHeight="1">
      <c r="A102" s="105"/>
      <c r="B102" s="105"/>
      <c r="C102" s="106"/>
      <c r="D102" s="105"/>
      <c r="E102" s="105"/>
      <c r="F102" s="105"/>
      <c r="G102" s="105"/>
      <c r="H102" s="106"/>
      <c r="I102" s="107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4.25" customHeight="1">
      <c r="A103" s="105"/>
      <c r="B103" s="105"/>
      <c r="C103" s="106"/>
      <c r="D103" s="105"/>
      <c r="E103" s="105"/>
      <c r="F103" s="105"/>
      <c r="G103" s="105"/>
      <c r="H103" s="106"/>
      <c r="I103" s="107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4.25" customHeight="1">
      <c r="A104" s="105"/>
      <c r="B104" s="105"/>
      <c r="C104" s="106"/>
      <c r="D104" s="105"/>
      <c r="E104" s="105"/>
      <c r="F104" s="105"/>
      <c r="G104" s="105"/>
      <c r="H104" s="106"/>
      <c r="I104" s="107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4.25" customHeight="1">
      <c r="A105" s="105"/>
      <c r="B105" s="105"/>
      <c r="C105" s="106"/>
      <c r="D105" s="105"/>
      <c r="E105" s="105"/>
      <c r="F105" s="105"/>
      <c r="G105" s="105"/>
      <c r="H105" s="106"/>
      <c r="I105" s="107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4.25" customHeight="1">
      <c r="A106" s="105"/>
      <c r="B106" s="105"/>
      <c r="C106" s="106"/>
      <c r="D106" s="105"/>
      <c r="E106" s="105"/>
      <c r="F106" s="105"/>
      <c r="G106" s="105"/>
      <c r="H106" s="106"/>
      <c r="I106" s="107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4.25" customHeight="1">
      <c r="A107" s="105"/>
      <c r="B107" s="105"/>
      <c r="C107" s="106"/>
      <c r="D107" s="105"/>
      <c r="E107" s="105"/>
      <c r="F107" s="105"/>
      <c r="G107" s="105"/>
      <c r="H107" s="106"/>
      <c r="I107" s="107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4.25" customHeight="1">
      <c r="A108" s="105"/>
      <c r="B108" s="105"/>
      <c r="C108" s="106"/>
      <c r="D108" s="105"/>
      <c r="E108" s="105"/>
      <c r="F108" s="105"/>
      <c r="G108" s="105"/>
      <c r="H108" s="106"/>
      <c r="I108" s="107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4.25" customHeight="1">
      <c r="A109" s="105"/>
      <c r="B109" s="105"/>
      <c r="C109" s="106"/>
      <c r="D109" s="105"/>
      <c r="E109" s="105"/>
      <c r="F109" s="105"/>
      <c r="G109" s="105"/>
      <c r="H109" s="106"/>
      <c r="I109" s="107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4.25" customHeight="1">
      <c r="A110" s="105"/>
      <c r="B110" s="105"/>
      <c r="C110" s="106"/>
      <c r="D110" s="105"/>
      <c r="E110" s="105"/>
      <c r="F110" s="105"/>
      <c r="G110" s="105"/>
      <c r="H110" s="106"/>
      <c r="I110" s="107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4.25" customHeight="1">
      <c r="A111" s="105"/>
      <c r="B111" s="105"/>
      <c r="C111" s="106"/>
      <c r="D111" s="105"/>
      <c r="E111" s="105"/>
      <c r="F111" s="105"/>
      <c r="G111" s="105"/>
      <c r="H111" s="106"/>
      <c r="I111" s="107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4.25" customHeight="1">
      <c r="A112" s="105"/>
      <c r="B112" s="105"/>
      <c r="C112" s="106"/>
      <c r="D112" s="105"/>
      <c r="E112" s="105"/>
      <c r="F112" s="105"/>
      <c r="G112" s="105"/>
      <c r="H112" s="106"/>
      <c r="I112" s="107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4.25" customHeight="1">
      <c r="A113" s="105"/>
      <c r="B113" s="105"/>
      <c r="C113" s="106"/>
      <c r="D113" s="105"/>
      <c r="E113" s="105"/>
      <c r="F113" s="105"/>
      <c r="G113" s="105"/>
      <c r="H113" s="106"/>
      <c r="I113" s="107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4.25" customHeight="1">
      <c r="A114" s="105"/>
      <c r="B114" s="105"/>
      <c r="C114" s="106"/>
      <c r="D114" s="105"/>
      <c r="E114" s="105"/>
      <c r="F114" s="105"/>
      <c r="G114" s="105"/>
      <c r="H114" s="106"/>
      <c r="I114" s="107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4.25" customHeight="1">
      <c r="A115" s="105"/>
      <c r="B115" s="105"/>
      <c r="C115" s="106"/>
      <c r="D115" s="105"/>
      <c r="E115" s="105"/>
      <c r="F115" s="105"/>
      <c r="G115" s="105"/>
      <c r="H115" s="106"/>
      <c r="I115" s="107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4.25" customHeight="1">
      <c r="A116" s="105"/>
      <c r="B116" s="105"/>
      <c r="C116" s="106"/>
      <c r="D116" s="105"/>
      <c r="E116" s="105"/>
      <c r="F116" s="105"/>
      <c r="G116" s="105"/>
      <c r="H116" s="106"/>
      <c r="I116" s="107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4.25" customHeight="1">
      <c r="A117" s="105"/>
      <c r="B117" s="105"/>
      <c r="C117" s="106"/>
      <c r="D117" s="105"/>
      <c r="E117" s="105"/>
      <c r="F117" s="105"/>
      <c r="G117" s="105"/>
      <c r="H117" s="106"/>
      <c r="I117" s="107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4.25" customHeight="1">
      <c r="A118" s="105"/>
      <c r="B118" s="105"/>
      <c r="C118" s="106"/>
      <c r="D118" s="105"/>
      <c r="E118" s="105"/>
      <c r="F118" s="105"/>
      <c r="G118" s="105"/>
      <c r="H118" s="106"/>
      <c r="I118" s="107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4.25" customHeight="1">
      <c r="A119" s="105"/>
      <c r="B119" s="105"/>
      <c r="C119" s="106"/>
      <c r="D119" s="105"/>
      <c r="E119" s="105"/>
      <c r="F119" s="105"/>
      <c r="G119" s="105"/>
      <c r="H119" s="106"/>
      <c r="I119" s="107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4.25" customHeight="1">
      <c r="A120" s="105"/>
      <c r="B120" s="105"/>
      <c r="C120" s="106"/>
      <c r="D120" s="105"/>
      <c r="E120" s="105"/>
      <c r="F120" s="105"/>
      <c r="G120" s="105"/>
      <c r="H120" s="106"/>
      <c r="I120" s="107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4.25" customHeight="1">
      <c r="A121" s="105"/>
      <c r="B121" s="105"/>
      <c r="C121" s="106"/>
      <c r="D121" s="105"/>
      <c r="E121" s="105"/>
      <c r="F121" s="105"/>
      <c r="G121" s="105"/>
      <c r="H121" s="106"/>
      <c r="I121" s="107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4.25" customHeight="1">
      <c r="A122" s="105"/>
      <c r="B122" s="105"/>
      <c r="C122" s="106"/>
      <c r="D122" s="105"/>
      <c r="E122" s="105"/>
      <c r="F122" s="105"/>
      <c r="G122" s="105"/>
      <c r="H122" s="106"/>
      <c r="I122" s="107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4.25" customHeight="1">
      <c r="A123" s="105"/>
      <c r="B123" s="105"/>
      <c r="C123" s="106"/>
      <c r="D123" s="105"/>
      <c r="E123" s="105"/>
      <c r="F123" s="105"/>
      <c r="G123" s="105"/>
      <c r="H123" s="106"/>
      <c r="I123" s="107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4.25" customHeight="1">
      <c r="A124" s="105"/>
      <c r="B124" s="105"/>
      <c r="C124" s="106"/>
      <c r="D124" s="105"/>
      <c r="E124" s="105"/>
      <c r="F124" s="105"/>
      <c r="G124" s="105"/>
      <c r="H124" s="106"/>
      <c r="I124" s="107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4.25" customHeight="1">
      <c r="A125" s="105"/>
      <c r="B125" s="105"/>
      <c r="C125" s="106"/>
      <c r="D125" s="105"/>
      <c r="E125" s="105"/>
      <c r="F125" s="105"/>
      <c r="G125" s="105"/>
      <c r="H125" s="106"/>
      <c r="I125" s="107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4.25" customHeight="1">
      <c r="A126" s="105"/>
      <c r="B126" s="105"/>
      <c r="C126" s="106"/>
      <c r="D126" s="105"/>
      <c r="E126" s="105"/>
      <c r="F126" s="105"/>
      <c r="G126" s="105"/>
      <c r="H126" s="106"/>
      <c r="I126" s="107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4.25" customHeight="1">
      <c r="A127" s="105"/>
      <c r="B127" s="105"/>
      <c r="C127" s="106"/>
      <c r="D127" s="105"/>
      <c r="E127" s="105"/>
      <c r="F127" s="105"/>
      <c r="G127" s="105"/>
      <c r="H127" s="106"/>
      <c r="I127" s="107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4.25" customHeight="1">
      <c r="A128" s="105"/>
      <c r="B128" s="105"/>
      <c r="C128" s="106"/>
      <c r="D128" s="105"/>
      <c r="E128" s="105"/>
      <c r="F128" s="105"/>
      <c r="G128" s="105"/>
      <c r="H128" s="106"/>
      <c r="I128" s="107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4.25" customHeight="1">
      <c r="A129" s="105"/>
      <c r="B129" s="105"/>
      <c r="C129" s="106"/>
      <c r="D129" s="105"/>
      <c r="E129" s="105"/>
      <c r="F129" s="105"/>
      <c r="G129" s="105"/>
      <c r="H129" s="106"/>
      <c r="I129" s="107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4.25" customHeight="1">
      <c r="A130" s="105"/>
      <c r="B130" s="105"/>
      <c r="C130" s="106"/>
      <c r="D130" s="105"/>
      <c r="E130" s="105"/>
      <c r="F130" s="105"/>
      <c r="G130" s="105"/>
      <c r="H130" s="106"/>
      <c r="I130" s="107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4.25" customHeight="1">
      <c r="A131" s="105"/>
      <c r="B131" s="105"/>
      <c r="C131" s="106"/>
      <c r="D131" s="105"/>
      <c r="E131" s="105"/>
      <c r="F131" s="105"/>
      <c r="G131" s="105"/>
      <c r="H131" s="106"/>
      <c r="I131" s="107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4.25" customHeight="1">
      <c r="A132" s="105"/>
      <c r="B132" s="105"/>
      <c r="C132" s="106"/>
      <c r="D132" s="105"/>
      <c r="E132" s="105"/>
      <c r="F132" s="105"/>
      <c r="G132" s="105"/>
      <c r="H132" s="106"/>
      <c r="I132" s="107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4.25" customHeight="1">
      <c r="A133" s="105"/>
      <c r="B133" s="105"/>
      <c r="C133" s="106"/>
      <c r="D133" s="105"/>
      <c r="E133" s="105"/>
      <c r="F133" s="105"/>
      <c r="G133" s="105"/>
      <c r="H133" s="106"/>
      <c r="I133" s="107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4.25" customHeight="1">
      <c r="A134" s="105"/>
      <c r="B134" s="105"/>
      <c r="C134" s="106"/>
      <c r="D134" s="105"/>
      <c r="E134" s="105"/>
      <c r="F134" s="105"/>
      <c r="G134" s="105"/>
      <c r="H134" s="106"/>
      <c r="I134" s="107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4.25" customHeight="1">
      <c r="A135" s="105"/>
      <c r="B135" s="105"/>
      <c r="C135" s="106"/>
      <c r="D135" s="105"/>
      <c r="E135" s="105"/>
      <c r="F135" s="105"/>
      <c r="G135" s="105"/>
      <c r="H135" s="106"/>
      <c r="I135" s="107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4.25" customHeight="1">
      <c r="A136" s="105"/>
      <c r="B136" s="105"/>
      <c r="C136" s="106"/>
      <c r="D136" s="105"/>
      <c r="E136" s="105"/>
      <c r="F136" s="105"/>
      <c r="G136" s="105"/>
      <c r="H136" s="106"/>
      <c r="I136" s="107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4.25" customHeight="1">
      <c r="A137" s="105"/>
      <c r="B137" s="105"/>
      <c r="C137" s="106"/>
      <c r="D137" s="105"/>
      <c r="E137" s="105"/>
      <c r="F137" s="105"/>
      <c r="G137" s="105"/>
      <c r="H137" s="106"/>
      <c r="I137" s="107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4.25" customHeight="1">
      <c r="A138" s="105"/>
      <c r="B138" s="105"/>
      <c r="C138" s="106"/>
      <c r="D138" s="105"/>
      <c r="E138" s="105"/>
      <c r="F138" s="105"/>
      <c r="G138" s="105"/>
      <c r="H138" s="106"/>
      <c r="I138" s="107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4.25" customHeight="1">
      <c r="A139" s="105"/>
      <c r="B139" s="105"/>
      <c r="C139" s="106"/>
      <c r="D139" s="105"/>
      <c r="E139" s="105"/>
      <c r="F139" s="105"/>
      <c r="G139" s="105"/>
      <c r="H139" s="106"/>
      <c r="I139" s="107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4.25" customHeight="1">
      <c r="A140" s="105"/>
      <c r="B140" s="105"/>
      <c r="C140" s="106"/>
      <c r="D140" s="105"/>
      <c r="E140" s="105"/>
      <c r="F140" s="105"/>
      <c r="G140" s="105"/>
      <c r="H140" s="106"/>
      <c r="I140" s="107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4.25" customHeight="1">
      <c r="A141" s="105"/>
      <c r="B141" s="105"/>
      <c r="C141" s="106"/>
      <c r="D141" s="105"/>
      <c r="E141" s="105"/>
      <c r="F141" s="105"/>
      <c r="G141" s="105"/>
      <c r="H141" s="106"/>
      <c r="I141" s="107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4.25" customHeight="1">
      <c r="A142" s="105"/>
      <c r="B142" s="105"/>
      <c r="C142" s="106"/>
      <c r="D142" s="105"/>
      <c r="E142" s="105"/>
      <c r="F142" s="105"/>
      <c r="G142" s="105"/>
      <c r="H142" s="106"/>
      <c r="I142" s="107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4.25" customHeight="1">
      <c r="A143" s="105"/>
      <c r="B143" s="105"/>
      <c r="C143" s="106"/>
      <c r="D143" s="105"/>
      <c r="E143" s="105"/>
      <c r="F143" s="105"/>
      <c r="G143" s="105"/>
      <c r="H143" s="106"/>
      <c r="I143" s="107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4.25" customHeight="1">
      <c r="A144" s="105"/>
      <c r="B144" s="105"/>
      <c r="C144" s="106"/>
      <c r="D144" s="105"/>
      <c r="E144" s="105"/>
      <c r="F144" s="105"/>
      <c r="G144" s="105"/>
      <c r="H144" s="106"/>
      <c r="I144" s="107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4.25" customHeight="1">
      <c r="A145" s="105"/>
      <c r="B145" s="105"/>
      <c r="C145" s="106"/>
      <c r="D145" s="105"/>
      <c r="E145" s="105"/>
      <c r="F145" s="105"/>
      <c r="G145" s="105"/>
      <c r="H145" s="106"/>
      <c r="I145" s="107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4.25" customHeight="1">
      <c r="A146" s="105"/>
      <c r="B146" s="105"/>
      <c r="C146" s="106"/>
      <c r="D146" s="105"/>
      <c r="E146" s="105"/>
      <c r="F146" s="105"/>
      <c r="G146" s="105"/>
      <c r="H146" s="106"/>
      <c r="I146" s="107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4.25" customHeight="1">
      <c r="A147" s="105"/>
      <c r="B147" s="105"/>
      <c r="C147" s="106"/>
      <c r="D147" s="105"/>
      <c r="E147" s="105"/>
      <c r="F147" s="105"/>
      <c r="G147" s="105"/>
      <c r="H147" s="106"/>
      <c r="I147" s="107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4.25" customHeight="1">
      <c r="A148" s="105"/>
      <c r="B148" s="105"/>
      <c r="C148" s="106"/>
      <c r="D148" s="105"/>
      <c r="E148" s="105"/>
      <c r="F148" s="105"/>
      <c r="G148" s="105"/>
      <c r="H148" s="106"/>
      <c r="I148" s="107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4.25" customHeight="1">
      <c r="A149" s="105"/>
      <c r="B149" s="105"/>
      <c r="C149" s="106"/>
      <c r="D149" s="105"/>
      <c r="E149" s="105"/>
      <c r="F149" s="105"/>
      <c r="G149" s="105"/>
      <c r="H149" s="106"/>
      <c r="I149" s="107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4.25" customHeight="1">
      <c r="A150" s="105"/>
      <c r="B150" s="105"/>
      <c r="C150" s="106"/>
      <c r="D150" s="105"/>
      <c r="E150" s="105"/>
      <c r="F150" s="105"/>
      <c r="G150" s="105"/>
      <c r="H150" s="106"/>
      <c r="I150" s="107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4.25" customHeight="1">
      <c r="A151" s="105"/>
      <c r="B151" s="105"/>
      <c r="C151" s="106"/>
      <c r="D151" s="105"/>
      <c r="E151" s="105"/>
      <c r="F151" s="105"/>
      <c r="G151" s="105"/>
      <c r="H151" s="106"/>
      <c r="I151" s="107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4.25" customHeight="1">
      <c r="A152" s="105"/>
      <c r="B152" s="105"/>
      <c r="C152" s="106"/>
      <c r="D152" s="105"/>
      <c r="E152" s="105"/>
      <c r="F152" s="105"/>
      <c r="G152" s="105"/>
      <c r="H152" s="106"/>
      <c r="I152" s="107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4.25" customHeight="1">
      <c r="A153" s="105"/>
      <c r="B153" s="105"/>
      <c r="C153" s="106"/>
      <c r="D153" s="105"/>
      <c r="E153" s="105"/>
      <c r="F153" s="105"/>
      <c r="G153" s="105"/>
      <c r="H153" s="106"/>
      <c r="I153" s="107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4.25" customHeight="1">
      <c r="A154" s="105"/>
      <c r="B154" s="105"/>
      <c r="C154" s="106"/>
      <c r="D154" s="105"/>
      <c r="E154" s="105"/>
      <c r="F154" s="105"/>
      <c r="G154" s="105"/>
      <c r="H154" s="106"/>
      <c r="I154" s="107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4.25" customHeight="1">
      <c r="A155" s="105"/>
      <c r="B155" s="105"/>
      <c r="C155" s="106"/>
      <c r="D155" s="105"/>
      <c r="E155" s="105"/>
      <c r="F155" s="105"/>
      <c r="G155" s="105"/>
      <c r="H155" s="106"/>
      <c r="I155" s="107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4.25" customHeight="1">
      <c r="A156" s="105"/>
      <c r="B156" s="105"/>
      <c r="C156" s="106"/>
      <c r="D156" s="105"/>
      <c r="E156" s="105"/>
      <c r="F156" s="105"/>
      <c r="G156" s="105"/>
      <c r="H156" s="106"/>
      <c r="I156" s="107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4.25" customHeight="1">
      <c r="A157" s="105"/>
      <c r="B157" s="105"/>
      <c r="C157" s="106"/>
      <c r="D157" s="105"/>
      <c r="E157" s="105"/>
      <c r="F157" s="105"/>
      <c r="G157" s="105"/>
      <c r="H157" s="106"/>
      <c r="I157" s="107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4.25" customHeight="1">
      <c r="A158" s="105"/>
      <c r="B158" s="105"/>
      <c r="C158" s="106"/>
      <c r="D158" s="105"/>
      <c r="E158" s="105"/>
      <c r="F158" s="105"/>
      <c r="G158" s="105"/>
      <c r="H158" s="106"/>
      <c r="I158" s="107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4.25" customHeight="1">
      <c r="A159" s="105"/>
      <c r="B159" s="105"/>
      <c r="C159" s="106"/>
      <c r="D159" s="105"/>
      <c r="E159" s="105"/>
      <c r="F159" s="105"/>
      <c r="G159" s="105"/>
      <c r="H159" s="106"/>
      <c r="I159" s="107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4.25" customHeight="1">
      <c r="A160" s="105"/>
      <c r="B160" s="105"/>
      <c r="C160" s="106"/>
      <c r="D160" s="105"/>
      <c r="E160" s="105"/>
      <c r="F160" s="105"/>
      <c r="G160" s="105"/>
      <c r="H160" s="106"/>
      <c r="I160" s="107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4.25" customHeight="1">
      <c r="A161" s="105"/>
      <c r="B161" s="105"/>
      <c r="C161" s="106"/>
      <c r="D161" s="105"/>
      <c r="E161" s="105"/>
      <c r="F161" s="105"/>
      <c r="G161" s="105"/>
      <c r="H161" s="106"/>
      <c r="I161" s="107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4.25" customHeight="1">
      <c r="A162" s="105"/>
      <c r="B162" s="105"/>
      <c r="C162" s="106"/>
      <c r="D162" s="105"/>
      <c r="E162" s="105"/>
      <c r="F162" s="105"/>
      <c r="G162" s="105"/>
      <c r="H162" s="106"/>
      <c r="I162" s="107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4.25" customHeight="1">
      <c r="A163" s="105"/>
      <c r="B163" s="105"/>
      <c r="C163" s="106"/>
      <c r="D163" s="105"/>
      <c r="E163" s="105"/>
      <c r="F163" s="105"/>
      <c r="G163" s="105"/>
      <c r="H163" s="106"/>
      <c r="I163" s="107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4.25" customHeight="1">
      <c r="A164" s="105"/>
      <c r="B164" s="105"/>
      <c r="C164" s="106"/>
      <c r="D164" s="105"/>
      <c r="E164" s="105"/>
      <c r="F164" s="105"/>
      <c r="G164" s="105"/>
      <c r="H164" s="106"/>
      <c r="I164" s="107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4.25" customHeight="1">
      <c r="A165" s="105"/>
      <c r="B165" s="105"/>
      <c r="C165" s="106"/>
      <c r="D165" s="105"/>
      <c r="E165" s="105"/>
      <c r="F165" s="105"/>
      <c r="G165" s="105"/>
      <c r="H165" s="106"/>
      <c r="I165" s="107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4.25" customHeight="1">
      <c r="A166" s="105"/>
      <c r="B166" s="105"/>
      <c r="C166" s="106"/>
      <c r="D166" s="105"/>
      <c r="E166" s="105"/>
      <c r="F166" s="105"/>
      <c r="G166" s="105"/>
      <c r="H166" s="106"/>
      <c r="I166" s="107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4.25" customHeight="1">
      <c r="A167" s="105"/>
      <c r="B167" s="105"/>
      <c r="C167" s="106"/>
      <c r="D167" s="105"/>
      <c r="E167" s="105"/>
      <c r="F167" s="105"/>
      <c r="G167" s="105"/>
      <c r="H167" s="106"/>
      <c r="I167" s="107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4.25" customHeight="1">
      <c r="A168" s="105"/>
      <c r="B168" s="105"/>
      <c r="C168" s="106"/>
      <c r="D168" s="105"/>
      <c r="E168" s="105"/>
      <c r="F168" s="105"/>
      <c r="G168" s="105"/>
      <c r="H168" s="106"/>
      <c r="I168" s="107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4.25" customHeight="1">
      <c r="A169" s="105"/>
      <c r="B169" s="105"/>
      <c r="C169" s="106"/>
      <c r="D169" s="105"/>
      <c r="E169" s="105"/>
      <c r="F169" s="105"/>
      <c r="G169" s="105"/>
      <c r="H169" s="106"/>
      <c r="I169" s="107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4.25" customHeight="1">
      <c r="A170" s="105"/>
      <c r="B170" s="105"/>
      <c r="C170" s="106"/>
      <c r="D170" s="105"/>
      <c r="E170" s="105"/>
      <c r="F170" s="105"/>
      <c r="G170" s="105"/>
      <c r="H170" s="106"/>
      <c r="I170" s="107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4.25" customHeight="1">
      <c r="A171" s="105"/>
      <c r="B171" s="105"/>
      <c r="C171" s="106"/>
      <c r="D171" s="105"/>
      <c r="E171" s="105"/>
      <c r="F171" s="105"/>
      <c r="G171" s="105"/>
      <c r="H171" s="106"/>
      <c r="I171" s="107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4.25" customHeight="1">
      <c r="A172" s="105"/>
      <c r="B172" s="105"/>
      <c r="C172" s="106"/>
      <c r="D172" s="105"/>
      <c r="E172" s="105"/>
      <c r="F172" s="105"/>
      <c r="G172" s="105"/>
      <c r="H172" s="106"/>
      <c r="I172" s="107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4.25" customHeight="1">
      <c r="A173" s="105"/>
      <c r="B173" s="105"/>
      <c r="C173" s="106"/>
      <c r="D173" s="105"/>
      <c r="E173" s="105"/>
      <c r="F173" s="105"/>
      <c r="G173" s="105"/>
      <c r="H173" s="106"/>
      <c r="I173" s="107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4.25" customHeight="1">
      <c r="A174" s="105"/>
      <c r="B174" s="105"/>
      <c r="C174" s="106"/>
      <c r="D174" s="105"/>
      <c r="E174" s="105"/>
      <c r="F174" s="105"/>
      <c r="G174" s="105"/>
      <c r="H174" s="106"/>
      <c r="I174" s="107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4.25" customHeight="1">
      <c r="A175" s="105"/>
      <c r="B175" s="105"/>
      <c r="C175" s="106"/>
      <c r="D175" s="105"/>
      <c r="E175" s="105"/>
      <c r="F175" s="105"/>
      <c r="G175" s="105"/>
      <c r="H175" s="106"/>
      <c r="I175" s="107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4.25" customHeight="1">
      <c r="A176" s="105"/>
      <c r="B176" s="105"/>
      <c r="C176" s="106"/>
      <c r="D176" s="105"/>
      <c r="E176" s="105"/>
      <c r="F176" s="105"/>
      <c r="G176" s="105"/>
      <c r="H176" s="106"/>
      <c r="I176" s="107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4.25" customHeight="1">
      <c r="A177" s="105"/>
      <c r="B177" s="105"/>
      <c r="C177" s="106"/>
      <c r="D177" s="105"/>
      <c r="E177" s="105"/>
      <c r="F177" s="105"/>
      <c r="G177" s="105"/>
      <c r="H177" s="106"/>
      <c r="I177" s="107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4.25" customHeight="1">
      <c r="A178" s="105"/>
      <c r="B178" s="105"/>
      <c r="C178" s="106"/>
      <c r="D178" s="105"/>
      <c r="E178" s="105"/>
      <c r="F178" s="105"/>
      <c r="G178" s="105"/>
      <c r="H178" s="106"/>
      <c r="I178" s="107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4.25" customHeight="1">
      <c r="A179" s="105"/>
      <c r="B179" s="105"/>
      <c r="C179" s="106"/>
      <c r="D179" s="105"/>
      <c r="E179" s="105"/>
      <c r="F179" s="105"/>
      <c r="G179" s="105"/>
      <c r="H179" s="106"/>
      <c r="I179" s="107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4.25" customHeight="1">
      <c r="A180" s="105"/>
      <c r="B180" s="105"/>
      <c r="C180" s="106"/>
      <c r="D180" s="105"/>
      <c r="E180" s="105"/>
      <c r="F180" s="105"/>
      <c r="G180" s="105"/>
      <c r="H180" s="106"/>
      <c r="I180" s="107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4.25" customHeight="1">
      <c r="A181" s="105"/>
      <c r="B181" s="105"/>
      <c r="C181" s="106"/>
      <c r="D181" s="105"/>
      <c r="E181" s="105"/>
      <c r="F181" s="105"/>
      <c r="G181" s="105"/>
      <c r="H181" s="106"/>
      <c r="I181" s="107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4.25" customHeight="1">
      <c r="A182" s="105"/>
      <c r="B182" s="105"/>
      <c r="C182" s="106"/>
      <c r="D182" s="105"/>
      <c r="E182" s="105"/>
      <c r="F182" s="105"/>
      <c r="G182" s="105"/>
      <c r="H182" s="106"/>
      <c r="I182" s="107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4.25" customHeight="1">
      <c r="A183" s="105"/>
      <c r="B183" s="105"/>
      <c r="C183" s="106"/>
      <c r="D183" s="105"/>
      <c r="E183" s="105"/>
      <c r="F183" s="105"/>
      <c r="G183" s="105"/>
      <c r="H183" s="106"/>
      <c r="I183" s="107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4.25" customHeight="1">
      <c r="A184" s="105"/>
      <c r="B184" s="105"/>
      <c r="C184" s="106"/>
      <c r="D184" s="105"/>
      <c r="E184" s="105"/>
      <c r="F184" s="105"/>
      <c r="G184" s="105"/>
      <c r="H184" s="106"/>
      <c r="I184" s="107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4.25" customHeight="1">
      <c r="A185" s="105"/>
      <c r="B185" s="105"/>
      <c r="C185" s="106"/>
      <c r="D185" s="105"/>
      <c r="E185" s="105"/>
      <c r="F185" s="105"/>
      <c r="G185" s="105"/>
      <c r="H185" s="106"/>
      <c r="I185" s="107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4.25" customHeight="1">
      <c r="A186" s="105"/>
      <c r="B186" s="105"/>
      <c r="C186" s="106"/>
      <c r="D186" s="105"/>
      <c r="E186" s="105"/>
      <c r="F186" s="105"/>
      <c r="G186" s="105"/>
      <c r="H186" s="106"/>
      <c r="I186" s="107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4.25" customHeight="1">
      <c r="A187" s="105"/>
      <c r="B187" s="105"/>
      <c r="C187" s="106"/>
      <c r="D187" s="105"/>
      <c r="E187" s="105"/>
      <c r="F187" s="105"/>
      <c r="G187" s="105"/>
      <c r="H187" s="106"/>
      <c r="I187" s="107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4.25" customHeight="1">
      <c r="A188" s="105"/>
      <c r="B188" s="105"/>
      <c r="C188" s="106"/>
      <c r="D188" s="105"/>
      <c r="E188" s="105"/>
      <c r="F188" s="105"/>
      <c r="G188" s="105"/>
      <c r="H188" s="106"/>
      <c r="I188" s="107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4.25" customHeight="1">
      <c r="A189" s="105"/>
      <c r="B189" s="105"/>
      <c r="C189" s="106"/>
      <c r="D189" s="105"/>
      <c r="E189" s="105"/>
      <c r="F189" s="105"/>
      <c r="G189" s="105"/>
      <c r="H189" s="106"/>
      <c r="I189" s="107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4.25" customHeight="1">
      <c r="A190" s="105"/>
      <c r="B190" s="105"/>
      <c r="C190" s="106"/>
      <c r="D190" s="105"/>
      <c r="E190" s="105"/>
      <c r="F190" s="105"/>
      <c r="G190" s="105"/>
      <c r="H190" s="106"/>
      <c r="I190" s="107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4.25" customHeight="1">
      <c r="A191" s="105"/>
      <c r="B191" s="105"/>
      <c r="C191" s="106"/>
      <c r="D191" s="105"/>
      <c r="E191" s="105"/>
      <c r="F191" s="105"/>
      <c r="G191" s="105"/>
      <c r="H191" s="106"/>
      <c r="I191" s="107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4.25" customHeight="1">
      <c r="A192" s="105"/>
      <c r="B192" s="105"/>
      <c r="C192" s="106"/>
      <c r="D192" s="105"/>
      <c r="E192" s="105"/>
      <c r="F192" s="105"/>
      <c r="G192" s="105"/>
      <c r="H192" s="106"/>
      <c r="I192" s="107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4.25" customHeight="1">
      <c r="A193" s="105"/>
      <c r="B193" s="105"/>
      <c r="C193" s="106"/>
      <c r="D193" s="105"/>
      <c r="E193" s="105"/>
      <c r="F193" s="105"/>
      <c r="G193" s="105"/>
      <c r="H193" s="106"/>
      <c r="I193" s="107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4.25" customHeight="1">
      <c r="A194" s="105"/>
      <c r="B194" s="105"/>
      <c r="C194" s="106"/>
      <c r="D194" s="105"/>
      <c r="E194" s="105"/>
      <c r="F194" s="105"/>
      <c r="G194" s="105"/>
      <c r="H194" s="106"/>
      <c r="I194" s="107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4.25" customHeight="1">
      <c r="A195" s="105"/>
      <c r="B195" s="105"/>
      <c r="C195" s="106"/>
      <c r="D195" s="105"/>
      <c r="E195" s="105"/>
      <c r="F195" s="105"/>
      <c r="G195" s="105"/>
      <c r="H195" s="106"/>
      <c r="I195" s="107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4.25" customHeight="1">
      <c r="A196" s="105"/>
      <c r="B196" s="105"/>
      <c r="C196" s="106"/>
      <c r="D196" s="105"/>
      <c r="E196" s="105"/>
      <c r="F196" s="105"/>
      <c r="G196" s="105"/>
      <c r="H196" s="106"/>
      <c r="I196" s="107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4.25" customHeight="1">
      <c r="A197" s="105"/>
      <c r="B197" s="105"/>
      <c r="C197" s="106"/>
      <c r="D197" s="105"/>
      <c r="E197" s="105"/>
      <c r="F197" s="105"/>
      <c r="G197" s="105"/>
      <c r="H197" s="106"/>
      <c r="I197" s="107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4.25" customHeight="1">
      <c r="A198" s="105"/>
      <c r="B198" s="105"/>
      <c r="C198" s="106"/>
      <c r="D198" s="105"/>
      <c r="E198" s="105"/>
      <c r="F198" s="105"/>
      <c r="G198" s="105"/>
      <c r="H198" s="106"/>
      <c r="I198" s="107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4.25" customHeight="1">
      <c r="A199" s="105"/>
      <c r="B199" s="105"/>
      <c r="C199" s="106"/>
      <c r="D199" s="105"/>
      <c r="E199" s="105"/>
      <c r="F199" s="105"/>
      <c r="G199" s="105"/>
      <c r="H199" s="106"/>
      <c r="I199" s="107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4.25" customHeight="1">
      <c r="A200" s="105"/>
      <c r="B200" s="105"/>
      <c r="C200" s="106"/>
      <c r="D200" s="105"/>
      <c r="E200" s="105"/>
      <c r="F200" s="105"/>
      <c r="G200" s="105"/>
      <c r="H200" s="106"/>
      <c r="I200" s="107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4.25" customHeight="1">
      <c r="A201" s="105"/>
      <c r="B201" s="105"/>
      <c r="C201" s="106"/>
      <c r="D201" s="105"/>
      <c r="E201" s="105"/>
      <c r="F201" s="105"/>
      <c r="G201" s="105"/>
      <c r="H201" s="106"/>
      <c r="I201" s="107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4.25" customHeight="1">
      <c r="A202" s="105"/>
      <c r="B202" s="105"/>
      <c r="C202" s="106"/>
      <c r="D202" s="105"/>
      <c r="E202" s="105"/>
      <c r="F202" s="105"/>
      <c r="G202" s="105"/>
      <c r="H202" s="106"/>
      <c r="I202" s="107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4.25" customHeight="1">
      <c r="A203" s="105"/>
      <c r="B203" s="105"/>
      <c r="C203" s="106"/>
      <c r="D203" s="105"/>
      <c r="E203" s="105"/>
      <c r="F203" s="105"/>
      <c r="G203" s="105"/>
      <c r="H203" s="106"/>
      <c r="I203" s="107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4.25" customHeight="1">
      <c r="A204" s="105"/>
      <c r="B204" s="105"/>
      <c r="C204" s="106"/>
      <c r="D204" s="105"/>
      <c r="E204" s="105"/>
      <c r="F204" s="105"/>
      <c r="G204" s="105"/>
      <c r="H204" s="106"/>
      <c r="I204" s="107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4.25" customHeight="1">
      <c r="A205" s="105"/>
      <c r="B205" s="105"/>
      <c r="C205" s="106"/>
      <c r="D205" s="105"/>
      <c r="E205" s="105"/>
      <c r="F205" s="105"/>
      <c r="G205" s="105"/>
      <c r="H205" s="106"/>
      <c r="I205" s="107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4.25" customHeight="1">
      <c r="A206" s="105"/>
      <c r="B206" s="105"/>
      <c r="C206" s="106"/>
      <c r="D206" s="105"/>
      <c r="E206" s="105"/>
      <c r="F206" s="105"/>
      <c r="G206" s="105"/>
      <c r="H206" s="106"/>
      <c r="I206" s="107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4.25" customHeight="1">
      <c r="A207" s="105"/>
      <c r="B207" s="105"/>
      <c r="C207" s="106"/>
      <c r="D207" s="105"/>
      <c r="E207" s="105"/>
      <c r="F207" s="105"/>
      <c r="G207" s="105"/>
      <c r="H207" s="106"/>
      <c r="I207" s="107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4.25" customHeight="1">
      <c r="A208" s="105"/>
      <c r="B208" s="105"/>
      <c r="C208" s="106"/>
      <c r="D208" s="105"/>
      <c r="E208" s="105"/>
      <c r="F208" s="105"/>
      <c r="G208" s="105"/>
      <c r="H208" s="106"/>
      <c r="I208" s="107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4.25" customHeight="1">
      <c r="A209" s="105"/>
      <c r="B209" s="105"/>
      <c r="C209" s="106"/>
      <c r="D209" s="105"/>
      <c r="E209" s="105"/>
      <c r="F209" s="105"/>
      <c r="G209" s="105"/>
      <c r="H209" s="106"/>
      <c r="I209" s="107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4.25" customHeight="1">
      <c r="A210" s="105"/>
      <c r="B210" s="105"/>
      <c r="C210" s="106"/>
      <c r="D210" s="105"/>
      <c r="E210" s="105"/>
      <c r="F210" s="105"/>
      <c r="G210" s="105"/>
      <c r="H210" s="106"/>
      <c r="I210" s="107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4.25" customHeight="1">
      <c r="A211" s="105"/>
      <c r="B211" s="105"/>
      <c r="C211" s="106"/>
      <c r="D211" s="105"/>
      <c r="E211" s="105"/>
      <c r="F211" s="105"/>
      <c r="G211" s="105"/>
      <c r="H211" s="106"/>
      <c r="I211" s="107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4.25" customHeight="1">
      <c r="A212" s="105"/>
      <c r="B212" s="105"/>
      <c r="C212" s="106"/>
      <c r="D212" s="105"/>
      <c r="E212" s="105"/>
      <c r="F212" s="105"/>
      <c r="G212" s="105"/>
      <c r="H212" s="106"/>
      <c r="I212" s="107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4.25" customHeight="1">
      <c r="A213" s="105"/>
      <c r="B213" s="105"/>
      <c r="C213" s="106"/>
      <c r="D213" s="105"/>
      <c r="E213" s="105"/>
      <c r="F213" s="105"/>
      <c r="G213" s="105"/>
      <c r="H213" s="106"/>
      <c r="I213" s="107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4.25" customHeight="1">
      <c r="A214" s="105"/>
      <c r="B214" s="105"/>
      <c r="C214" s="106"/>
      <c r="D214" s="105"/>
      <c r="E214" s="105"/>
      <c r="F214" s="105"/>
      <c r="G214" s="105"/>
      <c r="H214" s="106"/>
      <c r="I214" s="107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4.25" customHeight="1">
      <c r="A215" s="105"/>
      <c r="B215" s="105"/>
      <c r="C215" s="106"/>
      <c r="D215" s="105"/>
      <c r="E215" s="105"/>
      <c r="F215" s="105"/>
      <c r="G215" s="105"/>
      <c r="H215" s="106"/>
      <c r="I215" s="107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4.25" customHeight="1">
      <c r="A216" s="105"/>
      <c r="B216" s="105"/>
      <c r="C216" s="106"/>
      <c r="D216" s="105"/>
      <c r="E216" s="105"/>
      <c r="F216" s="105"/>
      <c r="G216" s="105"/>
      <c r="H216" s="106"/>
      <c r="I216" s="107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4.25" customHeight="1">
      <c r="A217" s="105"/>
      <c r="B217" s="105"/>
      <c r="C217" s="106"/>
      <c r="D217" s="105"/>
      <c r="E217" s="105"/>
      <c r="F217" s="105"/>
      <c r="G217" s="105"/>
      <c r="H217" s="106"/>
      <c r="I217" s="107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4.25" customHeight="1">
      <c r="A218" s="105"/>
      <c r="B218" s="105"/>
      <c r="C218" s="106"/>
      <c r="D218" s="105"/>
      <c r="E218" s="105"/>
      <c r="F218" s="105"/>
      <c r="G218" s="105"/>
      <c r="H218" s="106"/>
      <c r="I218" s="107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4.25" customHeight="1">
      <c r="A219" s="105"/>
      <c r="B219" s="105"/>
      <c r="C219" s="106"/>
      <c r="D219" s="105"/>
      <c r="E219" s="105"/>
      <c r="F219" s="105"/>
      <c r="G219" s="105"/>
      <c r="H219" s="106"/>
      <c r="I219" s="107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4.25" customHeight="1">
      <c r="A220" s="105"/>
      <c r="B220" s="105"/>
      <c r="C220" s="106"/>
      <c r="D220" s="105"/>
      <c r="E220" s="105"/>
      <c r="F220" s="105"/>
      <c r="G220" s="105"/>
      <c r="H220" s="106"/>
      <c r="I220" s="107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4.25" customHeight="1">
      <c r="A221" s="105"/>
      <c r="B221" s="105"/>
      <c r="C221" s="106"/>
      <c r="D221" s="105"/>
      <c r="E221" s="105"/>
      <c r="F221" s="105"/>
      <c r="G221" s="105"/>
      <c r="H221" s="106"/>
      <c r="I221" s="107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4.25" customHeight="1">
      <c r="A222" s="105"/>
      <c r="B222" s="105"/>
      <c r="C222" s="106"/>
      <c r="D222" s="105"/>
      <c r="E222" s="105"/>
      <c r="F222" s="105"/>
      <c r="G222" s="105"/>
      <c r="H222" s="106"/>
      <c r="I222" s="107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4.25" customHeight="1">
      <c r="A223" s="105"/>
      <c r="B223" s="105"/>
      <c r="C223" s="106"/>
      <c r="D223" s="105"/>
      <c r="E223" s="105"/>
      <c r="F223" s="105"/>
      <c r="G223" s="105"/>
      <c r="H223" s="106"/>
      <c r="I223" s="107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4.25" customHeight="1">
      <c r="A224" s="105"/>
      <c r="B224" s="105"/>
      <c r="C224" s="106"/>
      <c r="D224" s="105"/>
      <c r="E224" s="105"/>
      <c r="F224" s="105"/>
      <c r="G224" s="105"/>
      <c r="H224" s="106"/>
      <c r="I224" s="107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4.25" customHeight="1">
      <c r="A225" s="105"/>
      <c r="B225" s="105"/>
      <c r="C225" s="106"/>
      <c r="D225" s="105"/>
      <c r="E225" s="105"/>
      <c r="F225" s="105"/>
      <c r="G225" s="105"/>
      <c r="H225" s="106"/>
      <c r="I225" s="107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4.25" customHeight="1">
      <c r="A226" s="105"/>
      <c r="B226" s="105"/>
      <c r="C226" s="106"/>
      <c r="D226" s="105"/>
      <c r="E226" s="105"/>
      <c r="F226" s="105"/>
      <c r="G226" s="105"/>
      <c r="H226" s="106"/>
      <c r="I226" s="107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4.25" customHeight="1">
      <c r="A227" s="105"/>
      <c r="B227" s="105"/>
      <c r="C227" s="106"/>
      <c r="D227" s="105"/>
      <c r="E227" s="105"/>
      <c r="F227" s="105"/>
      <c r="G227" s="105"/>
      <c r="H227" s="106"/>
      <c r="I227" s="107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4.25" customHeight="1">
      <c r="A228" s="105"/>
      <c r="B228" s="105"/>
      <c r="C228" s="106"/>
      <c r="D228" s="105"/>
      <c r="E228" s="105"/>
      <c r="F228" s="105"/>
      <c r="G228" s="105"/>
      <c r="H228" s="106"/>
      <c r="I228" s="107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4.25" customHeight="1">
      <c r="A229" s="105"/>
      <c r="B229" s="105"/>
      <c r="C229" s="106"/>
      <c r="D229" s="105"/>
      <c r="E229" s="105"/>
      <c r="F229" s="105"/>
      <c r="G229" s="105"/>
      <c r="H229" s="106"/>
      <c r="I229" s="107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4.25" customHeight="1">
      <c r="A230" s="105"/>
      <c r="B230" s="105"/>
      <c r="C230" s="106"/>
      <c r="D230" s="105"/>
      <c r="E230" s="105"/>
      <c r="F230" s="105"/>
      <c r="G230" s="105"/>
      <c r="H230" s="106"/>
      <c r="I230" s="107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4.25" customHeight="1">
      <c r="A231" s="105"/>
      <c r="B231" s="105"/>
      <c r="C231" s="106"/>
      <c r="D231" s="105"/>
      <c r="E231" s="105"/>
      <c r="F231" s="105"/>
      <c r="G231" s="105"/>
      <c r="H231" s="106"/>
      <c r="I231" s="107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4.25" customHeight="1">
      <c r="A232" s="105"/>
      <c r="B232" s="105"/>
      <c r="C232" s="106"/>
      <c r="D232" s="105"/>
      <c r="E232" s="105"/>
      <c r="F232" s="105"/>
      <c r="G232" s="105"/>
      <c r="H232" s="106"/>
      <c r="I232" s="107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4.25" customHeight="1">
      <c r="A233" s="105"/>
      <c r="B233" s="105"/>
      <c r="C233" s="106"/>
      <c r="D233" s="105"/>
      <c r="E233" s="105"/>
      <c r="F233" s="105"/>
      <c r="G233" s="105"/>
      <c r="H233" s="106"/>
      <c r="I233" s="107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4.25" customHeight="1">
      <c r="A234" s="105"/>
      <c r="B234" s="105"/>
      <c r="C234" s="106"/>
      <c r="D234" s="105"/>
      <c r="E234" s="105"/>
      <c r="F234" s="105"/>
      <c r="G234" s="105"/>
      <c r="H234" s="106"/>
      <c r="I234" s="107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4.25" customHeight="1">
      <c r="A235" s="105"/>
      <c r="B235" s="105"/>
      <c r="C235" s="106"/>
      <c r="D235" s="105"/>
      <c r="E235" s="105"/>
      <c r="F235" s="105"/>
      <c r="G235" s="105"/>
      <c r="H235" s="106"/>
      <c r="I235" s="107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4.25" customHeight="1">
      <c r="A236" s="105"/>
      <c r="B236" s="105"/>
      <c r="C236" s="106"/>
      <c r="D236" s="105"/>
      <c r="E236" s="105"/>
      <c r="F236" s="105"/>
      <c r="G236" s="105"/>
      <c r="H236" s="106"/>
      <c r="I236" s="107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4.25" customHeight="1">
      <c r="A237" s="105"/>
      <c r="B237" s="105"/>
      <c r="C237" s="106"/>
      <c r="D237" s="105"/>
      <c r="E237" s="105"/>
      <c r="F237" s="105"/>
      <c r="G237" s="105"/>
      <c r="H237" s="106"/>
      <c r="I237" s="107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4.25" customHeight="1">
      <c r="A238" s="105"/>
      <c r="B238" s="105"/>
      <c r="C238" s="106"/>
      <c r="D238" s="105"/>
      <c r="E238" s="105"/>
      <c r="F238" s="105"/>
      <c r="G238" s="105"/>
      <c r="H238" s="106"/>
      <c r="I238" s="107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4.25" customHeight="1">
      <c r="A239" s="105"/>
      <c r="B239" s="105"/>
      <c r="C239" s="106"/>
      <c r="D239" s="105"/>
      <c r="E239" s="105"/>
      <c r="F239" s="105"/>
      <c r="G239" s="105"/>
      <c r="H239" s="106"/>
      <c r="I239" s="107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4.25" customHeight="1">
      <c r="A240" s="105"/>
      <c r="B240" s="105"/>
      <c r="C240" s="106"/>
      <c r="D240" s="105"/>
      <c r="E240" s="105"/>
      <c r="F240" s="105"/>
      <c r="G240" s="105"/>
      <c r="H240" s="106"/>
      <c r="I240" s="107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4.25" customHeight="1">
      <c r="A241" s="105"/>
      <c r="B241" s="105"/>
      <c r="C241" s="106"/>
      <c r="D241" s="105"/>
      <c r="E241" s="105"/>
      <c r="F241" s="105"/>
      <c r="G241" s="105"/>
      <c r="H241" s="106"/>
      <c r="I241" s="107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4.25" customHeight="1">
      <c r="A242" s="105"/>
      <c r="B242" s="105"/>
      <c r="C242" s="106"/>
      <c r="D242" s="105"/>
      <c r="E242" s="105"/>
      <c r="F242" s="105"/>
      <c r="G242" s="105"/>
      <c r="H242" s="106"/>
      <c r="I242" s="107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4.25" customHeight="1">
      <c r="A243" s="105"/>
      <c r="B243" s="105"/>
      <c r="C243" s="106"/>
      <c r="D243" s="105"/>
      <c r="E243" s="105"/>
      <c r="F243" s="105"/>
      <c r="G243" s="105"/>
      <c r="H243" s="106"/>
      <c r="I243" s="107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4.25" customHeight="1">
      <c r="A244" s="105"/>
      <c r="B244" s="105"/>
      <c r="C244" s="106"/>
      <c r="D244" s="105"/>
      <c r="E244" s="105"/>
      <c r="F244" s="105"/>
      <c r="G244" s="105"/>
      <c r="H244" s="106"/>
      <c r="I244" s="107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4.25" customHeight="1">
      <c r="A245" s="105"/>
      <c r="B245" s="105"/>
      <c r="C245" s="106"/>
      <c r="D245" s="105"/>
      <c r="E245" s="105"/>
      <c r="F245" s="105"/>
      <c r="G245" s="105"/>
      <c r="H245" s="106"/>
      <c r="I245" s="107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4.25" customHeight="1">
      <c r="A246" s="105"/>
      <c r="B246" s="105"/>
      <c r="C246" s="106"/>
      <c r="D246" s="105"/>
      <c r="E246" s="105"/>
      <c r="F246" s="105"/>
      <c r="G246" s="105"/>
      <c r="H246" s="106"/>
      <c r="I246" s="107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4.25" customHeight="1">
      <c r="A247" s="105"/>
      <c r="B247" s="105"/>
      <c r="C247" s="106"/>
      <c r="D247" s="105"/>
      <c r="E247" s="105"/>
      <c r="F247" s="105"/>
      <c r="G247" s="105"/>
      <c r="H247" s="106"/>
      <c r="I247" s="107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4.25" customHeight="1">
      <c r="A248" s="105"/>
      <c r="B248" s="105"/>
      <c r="C248" s="106"/>
      <c r="D248" s="105"/>
      <c r="E248" s="105"/>
      <c r="F248" s="105"/>
      <c r="G248" s="105"/>
      <c r="H248" s="106"/>
      <c r="I248" s="107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4.25" customHeight="1">
      <c r="A249" s="105"/>
      <c r="B249" s="105"/>
      <c r="C249" s="106"/>
      <c r="D249" s="105"/>
      <c r="E249" s="105"/>
      <c r="F249" s="105"/>
      <c r="G249" s="105"/>
      <c r="H249" s="106"/>
      <c r="I249" s="107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4.25" customHeight="1">
      <c r="A250" s="105"/>
      <c r="B250" s="105"/>
      <c r="C250" s="106"/>
      <c r="D250" s="105"/>
      <c r="E250" s="105"/>
      <c r="F250" s="105"/>
      <c r="G250" s="105"/>
      <c r="H250" s="106"/>
      <c r="I250" s="107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4.25" customHeight="1">
      <c r="A251" s="105"/>
      <c r="B251" s="105"/>
      <c r="C251" s="106"/>
      <c r="D251" s="105"/>
      <c r="E251" s="105"/>
      <c r="F251" s="105"/>
      <c r="G251" s="105"/>
      <c r="H251" s="106"/>
      <c r="I251" s="107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4.25" customHeight="1">
      <c r="A252" s="105"/>
      <c r="B252" s="105"/>
      <c r="C252" s="106"/>
      <c r="D252" s="105"/>
      <c r="E252" s="105"/>
      <c r="F252" s="105"/>
      <c r="G252" s="105"/>
      <c r="H252" s="106"/>
      <c r="I252" s="107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4.25" customHeight="1">
      <c r="A253" s="105"/>
      <c r="B253" s="105"/>
      <c r="C253" s="106"/>
      <c r="D253" s="105"/>
      <c r="E253" s="105"/>
      <c r="F253" s="105"/>
      <c r="G253" s="105"/>
      <c r="H253" s="106"/>
      <c r="I253" s="107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4.25" customHeight="1">
      <c r="A254" s="105"/>
      <c r="B254" s="105"/>
      <c r="C254" s="106"/>
      <c r="D254" s="105"/>
      <c r="E254" s="105"/>
      <c r="F254" s="105"/>
      <c r="G254" s="105"/>
      <c r="H254" s="106"/>
      <c r="I254" s="107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4.25" customHeight="1">
      <c r="A255" s="105"/>
      <c r="B255" s="105"/>
      <c r="C255" s="106"/>
      <c r="D255" s="105"/>
      <c r="E255" s="105"/>
      <c r="F255" s="105"/>
      <c r="G255" s="105"/>
      <c r="H255" s="106"/>
      <c r="I255" s="107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4.25" customHeight="1">
      <c r="A256" s="105"/>
      <c r="B256" s="105"/>
      <c r="C256" s="106"/>
      <c r="D256" s="105"/>
      <c r="E256" s="105"/>
      <c r="F256" s="105"/>
      <c r="G256" s="105"/>
      <c r="H256" s="106"/>
      <c r="I256" s="107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4.25" customHeight="1">
      <c r="A257" s="105"/>
      <c r="B257" s="105"/>
      <c r="C257" s="106"/>
      <c r="D257" s="105"/>
      <c r="E257" s="105"/>
      <c r="F257" s="105"/>
      <c r="G257" s="105"/>
      <c r="H257" s="106"/>
      <c r="I257" s="107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4.25" customHeight="1">
      <c r="A258" s="105"/>
      <c r="B258" s="105"/>
      <c r="C258" s="106"/>
      <c r="D258" s="105"/>
      <c r="E258" s="105"/>
      <c r="F258" s="105"/>
      <c r="G258" s="105"/>
      <c r="H258" s="106"/>
      <c r="I258" s="107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4.25" customHeight="1">
      <c r="A259" s="105"/>
      <c r="B259" s="105"/>
      <c r="C259" s="106"/>
      <c r="D259" s="105"/>
      <c r="E259" s="105"/>
      <c r="F259" s="105"/>
      <c r="G259" s="105"/>
      <c r="H259" s="106"/>
      <c r="I259" s="107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4.25" customHeight="1">
      <c r="A260" s="105"/>
      <c r="B260" s="105"/>
      <c r="C260" s="106"/>
      <c r="D260" s="105"/>
      <c r="E260" s="105"/>
      <c r="F260" s="105"/>
      <c r="G260" s="105"/>
      <c r="H260" s="106"/>
      <c r="I260" s="107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4.25" customHeight="1">
      <c r="A261" s="105"/>
      <c r="B261" s="105"/>
      <c r="C261" s="106"/>
      <c r="D261" s="105"/>
      <c r="E261" s="105"/>
      <c r="F261" s="105"/>
      <c r="G261" s="105"/>
      <c r="H261" s="106"/>
      <c r="I261" s="107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4.25" customHeight="1">
      <c r="A262" s="105"/>
      <c r="B262" s="105"/>
      <c r="C262" s="106"/>
      <c r="D262" s="105"/>
      <c r="E262" s="105"/>
      <c r="F262" s="105"/>
      <c r="G262" s="105"/>
      <c r="H262" s="106"/>
      <c r="I262" s="107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4.25" customHeight="1">
      <c r="A263" s="105"/>
      <c r="B263" s="105"/>
      <c r="C263" s="106"/>
      <c r="D263" s="105"/>
      <c r="E263" s="105"/>
      <c r="F263" s="105"/>
      <c r="G263" s="105"/>
      <c r="H263" s="106"/>
      <c r="I263" s="107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4.25" customHeight="1">
      <c r="A264" s="105"/>
      <c r="B264" s="105"/>
      <c r="C264" s="106"/>
      <c r="D264" s="105"/>
      <c r="E264" s="105"/>
      <c r="F264" s="105"/>
      <c r="G264" s="105"/>
      <c r="H264" s="106"/>
      <c r="I264" s="107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4.25" customHeight="1">
      <c r="A265" s="105"/>
      <c r="B265" s="105"/>
      <c r="C265" s="106"/>
      <c r="D265" s="105"/>
      <c r="E265" s="105"/>
      <c r="F265" s="105"/>
      <c r="G265" s="105"/>
      <c r="H265" s="106"/>
      <c r="I265" s="107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4.25" customHeight="1">
      <c r="A266" s="105"/>
      <c r="B266" s="105"/>
      <c r="C266" s="106"/>
      <c r="D266" s="105"/>
      <c r="E266" s="105"/>
      <c r="F266" s="105"/>
      <c r="G266" s="105"/>
      <c r="H266" s="106"/>
      <c r="I266" s="107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4.25" customHeight="1">
      <c r="A267" s="105"/>
      <c r="B267" s="105"/>
      <c r="C267" s="106"/>
      <c r="D267" s="105"/>
      <c r="E267" s="105"/>
      <c r="F267" s="105"/>
      <c r="G267" s="105"/>
      <c r="H267" s="106"/>
      <c r="I267" s="107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4.25" customHeight="1">
      <c r="A268" s="105"/>
      <c r="B268" s="105"/>
      <c r="C268" s="106"/>
      <c r="D268" s="105"/>
      <c r="E268" s="105"/>
      <c r="F268" s="105"/>
      <c r="G268" s="105"/>
      <c r="H268" s="106"/>
      <c r="I268" s="107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4.25" customHeight="1">
      <c r="A269" s="105"/>
      <c r="B269" s="105"/>
      <c r="C269" s="106"/>
      <c r="D269" s="105"/>
      <c r="E269" s="105"/>
      <c r="F269" s="105"/>
      <c r="G269" s="105"/>
      <c r="H269" s="106"/>
      <c r="I269" s="107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4.25" customHeight="1">
      <c r="A270" s="105"/>
      <c r="B270" s="105"/>
      <c r="C270" s="106"/>
      <c r="D270" s="105"/>
      <c r="E270" s="105"/>
      <c r="F270" s="105"/>
      <c r="G270" s="105"/>
      <c r="H270" s="106"/>
      <c r="I270" s="107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4.25" customHeight="1">
      <c r="A271" s="105"/>
      <c r="B271" s="105"/>
      <c r="C271" s="106"/>
      <c r="D271" s="105"/>
      <c r="E271" s="105"/>
      <c r="F271" s="105"/>
      <c r="G271" s="105"/>
      <c r="H271" s="106"/>
      <c r="I271" s="107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4.25" customHeight="1">
      <c r="A272" s="105"/>
      <c r="B272" s="105"/>
      <c r="C272" s="106"/>
      <c r="D272" s="105"/>
      <c r="E272" s="105"/>
      <c r="F272" s="105"/>
      <c r="G272" s="105"/>
      <c r="H272" s="106"/>
      <c r="I272" s="107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4.25" customHeight="1">
      <c r="A273" s="105"/>
      <c r="B273" s="105"/>
      <c r="C273" s="106"/>
      <c r="D273" s="105"/>
      <c r="E273" s="105"/>
      <c r="F273" s="105"/>
      <c r="G273" s="105"/>
      <c r="H273" s="106"/>
      <c r="I273" s="107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4.25" customHeight="1">
      <c r="A274" s="105"/>
      <c r="B274" s="105"/>
      <c r="C274" s="106"/>
      <c r="D274" s="105"/>
      <c r="E274" s="105"/>
      <c r="F274" s="105"/>
      <c r="G274" s="105"/>
      <c r="H274" s="106"/>
      <c r="I274" s="107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4.25" customHeight="1">
      <c r="A275" s="105"/>
      <c r="B275" s="105"/>
      <c r="C275" s="106"/>
      <c r="D275" s="105"/>
      <c r="E275" s="105"/>
      <c r="F275" s="105"/>
      <c r="G275" s="105"/>
      <c r="H275" s="106"/>
      <c r="I275" s="107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4.25" customHeight="1">
      <c r="A276" s="105"/>
      <c r="B276" s="105"/>
      <c r="C276" s="106"/>
      <c r="D276" s="105"/>
      <c r="E276" s="105"/>
      <c r="F276" s="105"/>
      <c r="G276" s="105"/>
      <c r="H276" s="106"/>
      <c r="I276" s="107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4.25" customHeight="1">
      <c r="A277" s="105"/>
      <c r="B277" s="105"/>
      <c r="C277" s="106"/>
      <c r="D277" s="105"/>
      <c r="E277" s="105"/>
      <c r="F277" s="105"/>
      <c r="G277" s="105"/>
      <c r="H277" s="106"/>
      <c r="I277" s="107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4.25" customHeight="1">
      <c r="A278" s="105"/>
      <c r="B278" s="105"/>
      <c r="C278" s="106"/>
      <c r="D278" s="105"/>
      <c r="E278" s="105"/>
      <c r="F278" s="105"/>
      <c r="G278" s="105"/>
      <c r="H278" s="106"/>
      <c r="I278" s="107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4.25" customHeight="1">
      <c r="A279" s="105"/>
      <c r="B279" s="105"/>
      <c r="C279" s="106"/>
      <c r="D279" s="105"/>
      <c r="E279" s="105"/>
      <c r="F279" s="105"/>
      <c r="G279" s="105"/>
      <c r="H279" s="106"/>
      <c r="I279" s="107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4.25" customHeight="1">
      <c r="A280" s="105"/>
      <c r="B280" s="105"/>
      <c r="C280" s="106"/>
      <c r="D280" s="105"/>
      <c r="E280" s="105"/>
      <c r="F280" s="105"/>
      <c r="G280" s="105"/>
      <c r="H280" s="106"/>
      <c r="I280" s="107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4.25" customHeight="1">
      <c r="A281" s="105"/>
      <c r="B281" s="105"/>
      <c r="C281" s="106"/>
      <c r="D281" s="105"/>
      <c r="E281" s="105"/>
      <c r="F281" s="105"/>
      <c r="G281" s="105"/>
      <c r="H281" s="106"/>
      <c r="I281" s="107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4.25" customHeight="1">
      <c r="A282" s="105"/>
      <c r="B282" s="105"/>
      <c r="C282" s="106"/>
      <c r="D282" s="105"/>
      <c r="E282" s="105"/>
      <c r="F282" s="105"/>
      <c r="G282" s="105"/>
      <c r="H282" s="106"/>
      <c r="I282" s="107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4.25" customHeight="1">
      <c r="A283" s="105"/>
      <c r="B283" s="105"/>
      <c r="C283" s="106"/>
      <c r="D283" s="105"/>
      <c r="E283" s="105"/>
      <c r="F283" s="105"/>
      <c r="G283" s="105"/>
      <c r="H283" s="106"/>
      <c r="I283" s="107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4.25" customHeight="1">
      <c r="A284" s="105"/>
      <c r="B284" s="105"/>
      <c r="C284" s="106"/>
      <c r="D284" s="105"/>
      <c r="E284" s="105"/>
      <c r="F284" s="105"/>
      <c r="G284" s="105"/>
      <c r="H284" s="106"/>
      <c r="I284" s="107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4.25" customHeight="1">
      <c r="A285" s="105"/>
      <c r="B285" s="105"/>
      <c r="C285" s="106"/>
      <c r="D285" s="105"/>
      <c r="E285" s="105"/>
      <c r="F285" s="105"/>
      <c r="G285" s="105"/>
      <c r="H285" s="106"/>
      <c r="I285" s="107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4.25" customHeight="1">
      <c r="A286" s="105"/>
      <c r="B286" s="105"/>
      <c r="C286" s="106"/>
      <c r="D286" s="105"/>
      <c r="E286" s="105"/>
      <c r="F286" s="105"/>
      <c r="G286" s="105"/>
      <c r="H286" s="106"/>
      <c r="I286" s="107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4.25" customHeight="1">
      <c r="A287" s="105"/>
      <c r="B287" s="105"/>
      <c r="C287" s="106"/>
      <c r="D287" s="105"/>
      <c r="E287" s="105"/>
      <c r="F287" s="105"/>
      <c r="G287" s="105"/>
      <c r="H287" s="106"/>
      <c r="I287" s="107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4.25" customHeight="1">
      <c r="A288" s="105"/>
      <c r="B288" s="105"/>
      <c r="C288" s="106"/>
      <c r="D288" s="105"/>
      <c r="E288" s="105"/>
      <c r="F288" s="105"/>
      <c r="G288" s="105"/>
      <c r="H288" s="106"/>
      <c r="I288" s="107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4.25" customHeight="1">
      <c r="A289" s="105"/>
      <c r="B289" s="105"/>
      <c r="C289" s="106"/>
      <c r="D289" s="105"/>
      <c r="E289" s="105"/>
      <c r="F289" s="105"/>
      <c r="G289" s="105"/>
      <c r="H289" s="106"/>
      <c r="I289" s="107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4.25" customHeight="1">
      <c r="A290" s="105"/>
      <c r="B290" s="105"/>
      <c r="C290" s="106"/>
      <c r="D290" s="105"/>
      <c r="E290" s="105"/>
      <c r="F290" s="105"/>
      <c r="G290" s="105"/>
      <c r="H290" s="106"/>
      <c r="I290" s="107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4.25" customHeight="1">
      <c r="A291" s="105"/>
      <c r="B291" s="105"/>
      <c r="C291" s="106"/>
      <c r="D291" s="105"/>
      <c r="E291" s="105"/>
      <c r="F291" s="105"/>
      <c r="G291" s="105"/>
      <c r="H291" s="106"/>
      <c r="I291" s="107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4.25" customHeight="1">
      <c r="A292" s="105"/>
      <c r="B292" s="105"/>
      <c r="C292" s="106"/>
      <c r="D292" s="105"/>
      <c r="E292" s="105"/>
      <c r="F292" s="105"/>
      <c r="G292" s="105"/>
      <c r="H292" s="106"/>
      <c r="I292" s="107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4.25" customHeight="1">
      <c r="A293" s="105"/>
      <c r="B293" s="105"/>
      <c r="C293" s="106"/>
      <c r="D293" s="105"/>
      <c r="E293" s="105"/>
      <c r="F293" s="105"/>
      <c r="G293" s="105"/>
      <c r="H293" s="106"/>
      <c r="I293" s="107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4.25" customHeight="1">
      <c r="A294" s="105"/>
      <c r="B294" s="105"/>
      <c r="C294" s="106"/>
      <c r="D294" s="105"/>
      <c r="E294" s="105"/>
      <c r="F294" s="105"/>
      <c r="G294" s="105"/>
      <c r="H294" s="106"/>
      <c r="I294" s="107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4.25" customHeight="1">
      <c r="A295" s="105"/>
      <c r="B295" s="105"/>
      <c r="C295" s="106"/>
      <c r="D295" s="105"/>
      <c r="E295" s="105"/>
      <c r="F295" s="105"/>
      <c r="G295" s="105"/>
      <c r="H295" s="106"/>
      <c r="I295" s="107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4.25" customHeight="1">
      <c r="A296" s="105"/>
      <c r="B296" s="105"/>
      <c r="C296" s="106"/>
      <c r="D296" s="105"/>
      <c r="E296" s="105"/>
      <c r="F296" s="105"/>
      <c r="G296" s="105"/>
      <c r="H296" s="106"/>
      <c r="I296" s="107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4.25" customHeight="1">
      <c r="A297" s="105"/>
      <c r="B297" s="105"/>
      <c r="C297" s="106"/>
      <c r="D297" s="105"/>
      <c r="E297" s="105"/>
      <c r="F297" s="105"/>
      <c r="G297" s="105"/>
      <c r="H297" s="106"/>
      <c r="I297" s="107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4.25" customHeight="1">
      <c r="A298" s="105"/>
      <c r="B298" s="105"/>
      <c r="C298" s="106"/>
      <c r="D298" s="105"/>
      <c r="E298" s="105"/>
      <c r="F298" s="105"/>
      <c r="G298" s="105"/>
      <c r="H298" s="106"/>
      <c r="I298" s="107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4.25" customHeight="1">
      <c r="A299" s="105"/>
      <c r="B299" s="105"/>
      <c r="C299" s="106"/>
      <c r="D299" s="105"/>
      <c r="E299" s="105"/>
      <c r="F299" s="105"/>
      <c r="G299" s="105"/>
      <c r="H299" s="106"/>
      <c r="I299" s="107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4.25" customHeight="1">
      <c r="A300" s="105"/>
      <c r="B300" s="105"/>
      <c r="C300" s="106"/>
      <c r="D300" s="105"/>
      <c r="E300" s="105"/>
      <c r="F300" s="105"/>
      <c r="G300" s="105"/>
      <c r="H300" s="106"/>
      <c r="I300" s="107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4.25" customHeight="1">
      <c r="A301" s="105"/>
      <c r="B301" s="105"/>
      <c r="C301" s="106"/>
      <c r="D301" s="105"/>
      <c r="E301" s="105"/>
      <c r="F301" s="105"/>
      <c r="G301" s="105"/>
      <c r="H301" s="106"/>
      <c r="I301" s="107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4.25" customHeight="1">
      <c r="A302" s="105"/>
      <c r="B302" s="105"/>
      <c r="C302" s="106"/>
      <c r="D302" s="105"/>
      <c r="E302" s="105"/>
      <c r="F302" s="105"/>
      <c r="G302" s="105"/>
      <c r="H302" s="106"/>
      <c r="I302" s="107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4.25" customHeight="1">
      <c r="A303" s="105"/>
      <c r="B303" s="105"/>
      <c r="C303" s="106"/>
      <c r="D303" s="105"/>
      <c r="E303" s="105"/>
      <c r="F303" s="105"/>
      <c r="G303" s="105"/>
      <c r="H303" s="106"/>
      <c r="I303" s="107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4.25" customHeight="1">
      <c r="A304" s="105"/>
      <c r="B304" s="105"/>
      <c r="C304" s="106"/>
      <c r="D304" s="105"/>
      <c r="E304" s="105"/>
      <c r="F304" s="105"/>
      <c r="G304" s="105"/>
      <c r="H304" s="106"/>
      <c r="I304" s="107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4.25" customHeight="1">
      <c r="A305" s="105"/>
      <c r="B305" s="105"/>
      <c r="C305" s="106"/>
      <c r="D305" s="105"/>
      <c r="E305" s="105"/>
      <c r="F305" s="105"/>
      <c r="G305" s="105"/>
      <c r="H305" s="106"/>
      <c r="I305" s="107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4.25" customHeight="1">
      <c r="A306" s="105"/>
      <c r="B306" s="105"/>
      <c r="C306" s="106"/>
      <c r="D306" s="105"/>
      <c r="E306" s="105"/>
      <c r="F306" s="105"/>
      <c r="G306" s="105"/>
      <c r="H306" s="106"/>
      <c r="I306" s="107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4.25" customHeight="1">
      <c r="A307" s="105"/>
      <c r="B307" s="105"/>
      <c r="C307" s="106"/>
      <c r="D307" s="105"/>
      <c r="E307" s="105"/>
      <c r="F307" s="105"/>
      <c r="G307" s="105"/>
      <c r="H307" s="106"/>
      <c r="I307" s="107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4.25" customHeight="1">
      <c r="A308" s="105"/>
      <c r="B308" s="105"/>
      <c r="C308" s="106"/>
      <c r="D308" s="105"/>
      <c r="E308" s="105"/>
      <c r="F308" s="105"/>
      <c r="G308" s="105"/>
      <c r="H308" s="106"/>
      <c r="I308" s="107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4.25" customHeight="1">
      <c r="A309" s="105"/>
      <c r="B309" s="105"/>
      <c r="C309" s="106"/>
      <c r="D309" s="105"/>
      <c r="E309" s="105"/>
      <c r="F309" s="105"/>
      <c r="G309" s="105"/>
      <c r="H309" s="106"/>
      <c r="I309" s="107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4.25" customHeight="1">
      <c r="A310" s="105"/>
      <c r="B310" s="105"/>
      <c r="C310" s="106"/>
      <c r="D310" s="105"/>
      <c r="E310" s="105"/>
      <c r="F310" s="105"/>
      <c r="G310" s="105"/>
      <c r="H310" s="106"/>
      <c r="I310" s="107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4.25" customHeight="1">
      <c r="A311" s="105"/>
      <c r="B311" s="105"/>
      <c r="C311" s="106"/>
      <c r="D311" s="105"/>
      <c r="E311" s="105"/>
      <c r="F311" s="105"/>
      <c r="G311" s="105"/>
      <c r="H311" s="106"/>
      <c r="I311" s="107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4.25" customHeight="1">
      <c r="A312" s="105"/>
      <c r="B312" s="105"/>
      <c r="C312" s="106"/>
      <c r="D312" s="105"/>
      <c r="E312" s="105"/>
      <c r="F312" s="105"/>
      <c r="G312" s="105"/>
      <c r="H312" s="106"/>
      <c r="I312" s="107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4.25" customHeight="1">
      <c r="A313" s="105"/>
      <c r="B313" s="105"/>
      <c r="C313" s="106"/>
      <c r="D313" s="105"/>
      <c r="E313" s="105"/>
      <c r="F313" s="105"/>
      <c r="G313" s="105"/>
      <c r="H313" s="106"/>
      <c r="I313" s="107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4.25" customHeight="1">
      <c r="A314" s="105"/>
      <c r="B314" s="105"/>
      <c r="C314" s="106"/>
      <c r="D314" s="105"/>
      <c r="E314" s="105"/>
      <c r="F314" s="105"/>
      <c r="G314" s="105"/>
      <c r="H314" s="106"/>
      <c r="I314" s="107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4.25" customHeight="1">
      <c r="A315" s="105"/>
      <c r="B315" s="105"/>
      <c r="C315" s="106"/>
      <c r="D315" s="105"/>
      <c r="E315" s="105"/>
      <c r="F315" s="105"/>
      <c r="G315" s="105"/>
      <c r="H315" s="106"/>
      <c r="I315" s="107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4.25" customHeight="1">
      <c r="A316" s="105"/>
      <c r="B316" s="105"/>
      <c r="C316" s="106"/>
      <c r="D316" s="105"/>
      <c r="E316" s="105"/>
      <c r="F316" s="105"/>
      <c r="G316" s="105"/>
      <c r="H316" s="106"/>
      <c r="I316" s="107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4.25" customHeight="1">
      <c r="A317" s="105"/>
      <c r="B317" s="105"/>
      <c r="C317" s="106"/>
      <c r="D317" s="105"/>
      <c r="E317" s="105"/>
      <c r="F317" s="105"/>
      <c r="G317" s="105"/>
      <c r="H317" s="106"/>
      <c r="I317" s="107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4.25" customHeight="1">
      <c r="A318" s="105"/>
      <c r="B318" s="105"/>
      <c r="C318" s="106"/>
      <c r="D318" s="105"/>
      <c r="E318" s="105"/>
      <c r="F318" s="105"/>
      <c r="G318" s="105"/>
      <c r="H318" s="106"/>
      <c r="I318" s="107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4.25" customHeight="1">
      <c r="A319" s="105"/>
      <c r="B319" s="105"/>
      <c r="C319" s="106"/>
      <c r="D319" s="105"/>
      <c r="E319" s="105"/>
      <c r="F319" s="105"/>
      <c r="G319" s="105"/>
      <c r="H319" s="106"/>
      <c r="I319" s="107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4.25" customHeight="1">
      <c r="A320" s="105"/>
      <c r="B320" s="105"/>
      <c r="C320" s="106"/>
      <c r="D320" s="105"/>
      <c r="E320" s="105"/>
      <c r="F320" s="105"/>
      <c r="G320" s="105"/>
      <c r="H320" s="106"/>
      <c r="I320" s="107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4.25" customHeight="1">
      <c r="A321" s="105"/>
      <c r="B321" s="105"/>
      <c r="C321" s="106"/>
      <c r="D321" s="105"/>
      <c r="E321" s="105"/>
      <c r="F321" s="105"/>
      <c r="G321" s="105"/>
      <c r="H321" s="106"/>
      <c r="I321" s="107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4.25" customHeight="1">
      <c r="A322" s="105"/>
      <c r="B322" s="105"/>
      <c r="C322" s="106"/>
      <c r="D322" s="105"/>
      <c r="E322" s="105"/>
      <c r="F322" s="105"/>
      <c r="G322" s="105"/>
      <c r="H322" s="106"/>
      <c r="I322" s="107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4.25" customHeight="1">
      <c r="A323" s="105"/>
      <c r="B323" s="105"/>
      <c r="C323" s="106"/>
      <c r="D323" s="105"/>
      <c r="E323" s="105"/>
      <c r="F323" s="105"/>
      <c r="G323" s="105"/>
      <c r="H323" s="106"/>
      <c r="I323" s="107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4.25" customHeight="1">
      <c r="A324" s="105"/>
      <c r="B324" s="105"/>
      <c r="C324" s="106"/>
      <c r="D324" s="105"/>
      <c r="E324" s="105"/>
      <c r="F324" s="105"/>
      <c r="G324" s="105"/>
      <c r="H324" s="106"/>
      <c r="I324" s="107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4.25" customHeight="1">
      <c r="A325" s="105"/>
      <c r="B325" s="105"/>
      <c r="C325" s="106"/>
      <c r="D325" s="105"/>
      <c r="E325" s="105"/>
      <c r="F325" s="105"/>
      <c r="G325" s="105"/>
      <c r="H325" s="106"/>
      <c r="I325" s="107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4.25" customHeight="1">
      <c r="A326" s="105"/>
      <c r="B326" s="105"/>
      <c r="C326" s="106"/>
      <c r="D326" s="105"/>
      <c r="E326" s="105"/>
      <c r="F326" s="105"/>
      <c r="G326" s="105"/>
      <c r="H326" s="106"/>
      <c r="I326" s="107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4.25" customHeight="1">
      <c r="A327" s="105"/>
      <c r="B327" s="105"/>
      <c r="C327" s="106"/>
      <c r="D327" s="105"/>
      <c r="E327" s="105"/>
      <c r="F327" s="105"/>
      <c r="G327" s="105"/>
      <c r="H327" s="106"/>
      <c r="I327" s="107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4.25" customHeight="1">
      <c r="A328" s="105"/>
      <c r="B328" s="105"/>
      <c r="C328" s="106"/>
      <c r="D328" s="105"/>
      <c r="E328" s="105"/>
      <c r="F328" s="105"/>
      <c r="G328" s="105"/>
      <c r="H328" s="106"/>
      <c r="I328" s="107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4.25" customHeight="1">
      <c r="A329" s="105"/>
      <c r="B329" s="105"/>
      <c r="C329" s="106"/>
      <c r="D329" s="105"/>
      <c r="E329" s="105"/>
      <c r="F329" s="105"/>
      <c r="G329" s="105"/>
      <c r="H329" s="106"/>
      <c r="I329" s="107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4.25" customHeight="1">
      <c r="A330" s="105"/>
      <c r="B330" s="105"/>
      <c r="C330" s="106"/>
      <c r="D330" s="105"/>
      <c r="E330" s="105"/>
      <c r="F330" s="105"/>
      <c r="G330" s="105"/>
      <c r="H330" s="106"/>
      <c r="I330" s="107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4.25" customHeight="1">
      <c r="A331" s="105"/>
      <c r="B331" s="105"/>
      <c r="C331" s="106"/>
      <c r="D331" s="105"/>
      <c r="E331" s="105"/>
      <c r="F331" s="105"/>
      <c r="G331" s="105"/>
      <c r="H331" s="106"/>
      <c r="I331" s="107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4.25" customHeight="1">
      <c r="A332" s="105"/>
      <c r="B332" s="105"/>
      <c r="C332" s="106"/>
      <c r="D332" s="105"/>
      <c r="E332" s="105"/>
      <c r="F332" s="105"/>
      <c r="G332" s="105"/>
      <c r="H332" s="106"/>
      <c r="I332" s="107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4.25" customHeight="1">
      <c r="A333" s="105"/>
      <c r="B333" s="105"/>
      <c r="C333" s="106"/>
      <c r="D333" s="105"/>
      <c r="E333" s="105"/>
      <c r="F333" s="105"/>
      <c r="G333" s="105"/>
      <c r="H333" s="106"/>
      <c r="I333" s="107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4.25" customHeight="1">
      <c r="A334" s="105"/>
      <c r="B334" s="105"/>
      <c r="C334" s="106"/>
      <c r="D334" s="105"/>
      <c r="E334" s="105"/>
      <c r="F334" s="105"/>
      <c r="G334" s="105"/>
      <c r="H334" s="106"/>
      <c r="I334" s="107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4.25" customHeight="1">
      <c r="A335" s="105"/>
      <c r="B335" s="105"/>
      <c r="C335" s="106"/>
      <c r="D335" s="105"/>
      <c r="E335" s="105"/>
      <c r="F335" s="105"/>
      <c r="G335" s="105"/>
      <c r="H335" s="106"/>
      <c r="I335" s="107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4.25" customHeight="1">
      <c r="A336" s="105"/>
      <c r="B336" s="105"/>
      <c r="C336" s="106"/>
      <c r="D336" s="105"/>
      <c r="E336" s="105"/>
      <c r="F336" s="105"/>
      <c r="G336" s="105"/>
      <c r="H336" s="106"/>
      <c r="I336" s="107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4.25" customHeight="1">
      <c r="A337" s="105"/>
      <c r="B337" s="105"/>
      <c r="C337" s="106"/>
      <c r="D337" s="105"/>
      <c r="E337" s="105"/>
      <c r="F337" s="105"/>
      <c r="G337" s="105"/>
      <c r="H337" s="106"/>
      <c r="I337" s="107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4.25" customHeight="1">
      <c r="A338" s="105"/>
      <c r="B338" s="105"/>
      <c r="C338" s="106"/>
      <c r="D338" s="105"/>
      <c r="E338" s="105"/>
      <c r="F338" s="105"/>
      <c r="G338" s="105"/>
      <c r="H338" s="106"/>
      <c r="I338" s="107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4.25" customHeight="1">
      <c r="A339" s="105"/>
      <c r="B339" s="105"/>
      <c r="C339" s="106"/>
      <c r="D339" s="105"/>
      <c r="E339" s="105"/>
      <c r="F339" s="105"/>
      <c r="G339" s="105"/>
      <c r="H339" s="106"/>
      <c r="I339" s="107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4.25" customHeight="1">
      <c r="A340" s="105"/>
      <c r="B340" s="105"/>
      <c r="C340" s="106"/>
      <c r="D340" s="105"/>
      <c r="E340" s="105"/>
      <c r="F340" s="105"/>
      <c r="G340" s="105"/>
      <c r="H340" s="106"/>
      <c r="I340" s="107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4.25" customHeight="1">
      <c r="A341" s="105"/>
      <c r="B341" s="105"/>
      <c r="C341" s="106"/>
      <c r="D341" s="105"/>
      <c r="E341" s="105"/>
      <c r="F341" s="105"/>
      <c r="G341" s="105"/>
      <c r="H341" s="106"/>
      <c r="I341" s="107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4.25" customHeight="1">
      <c r="A342" s="105"/>
      <c r="B342" s="105"/>
      <c r="C342" s="106"/>
      <c r="D342" s="105"/>
      <c r="E342" s="105"/>
      <c r="F342" s="105"/>
      <c r="G342" s="105"/>
      <c r="H342" s="106"/>
      <c r="I342" s="107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4.25" customHeight="1">
      <c r="A343" s="105"/>
      <c r="B343" s="105"/>
      <c r="C343" s="106"/>
      <c r="D343" s="105"/>
      <c r="E343" s="105"/>
      <c r="F343" s="105"/>
      <c r="G343" s="105"/>
      <c r="H343" s="106"/>
      <c r="I343" s="107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4.25" customHeight="1">
      <c r="A344" s="105"/>
      <c r="B344" s="105"/>
      <c r="C344" s="106"/>
      <c r="D344" s="105"/>
      <c r="E344" s="105"/>
      <c r="F344" s="105"/>
      <c r="G344" s="105"/>
      <c r="H344" s="106"/>
      <c r="I344" s="107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4.25" customHeight="1">
      <c r="A345" s="105"/>
      <c r="B345" s="105"/>
      <c r="C345" s="106"/>
      <c r="D345" s="105"/>
      <c r="E345" s="105"/>
      <c r="F345" s="105"/>
      <c r="G345" s="105"/>
      <c r="H345" s="106"/>
      <c r="I345" s="107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4.25" customHeight="1">
      <c r="A346" s="105"/>
      <c r="B346" s="105"/>
      <c r="C346" s="106"/>
      <c r="D346" s="105"/>
      <c r="E346" s="105"/>
      <c r="F346" s="105"/>
      <c r="G346" s="105"/>
      <c r="H346" s="106"/>
      <c r="I346" s="107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4.25" customHeight="1">
      <c r="A347" s="105"/>
      <c r="B347" s="105"/>
      <c r="C347" s="106"/>
      <c r="D347" s="105"/>
      <c r="E347" s="105"/>
      <c r="F347" s="105"/>
      <c r="G347" s="105"/>
      <c r="H347" s="106"/>
      <c r="I347" s="107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4.25" customHeight="1">
      <c r="A348" s="105"/>
      <c r="B348" s="105"/>
      <c r="C348" s="106"/>
      <c r="D348" s="105"/>
      <c r="E348" s="105"/>
      <c r="F348" s="105"/>
      <c r="G348" s="105"/>
      <c r="H348" s="106"/>
      <c r="I348" s="107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4.25" customHeight="1">
      <c r="A349" s="105"/>
      <c r="B349" s="105"/>
      <c r="C349" s="106"/>
      <c r="D349" s="105"/>
      <c r="E349" s="105"/>
      <c r="F349" s="105"/>
      <c r="G349" s="105"/>
      <c r="H349" s="106"/>
      <c r="I349" s="107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4.25" customHeight="1">
      <c r="A350" s="105"/>
      <c r="B350" s="105"/>
      <c r="C350" s="106"/>
      <c r="D350" s="105"/>
      <c r="E350" s="105"/>
      <c r="F350" s="105"/>
      <c r="G350" s="105"/>
      <c r="H350" s="106"/>
      <c r="I350" s="107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4.25" customHeight="1">
      <c r="A351" s="105"/>
      <c r="B351" s="105"/>
      <c r="C351" s="106"/>
      <c r="D351" s="105"/>
      <c r="E351" s="105"/>
      <c r="F351" s="105"/>
      <c r="G351" s="105"/>
      <c r="H351" s="106"/>
      <c r="I351" s="107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4.25" customHeight="1">
      <c r="A352" s="105"/>
      <c r="B352" s="105"/>
      <c r="C352" s="106"/>
      <c r="D352" s="105"/>
      <c r="E352" s="105"/>
      <c r="F352" s="105"/>
      <c r="G352" s="105"/>
      <c r="H352" s="106"/>
      <c r="I352" s="107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4.25" customHeight="1">
      <c r="A353" s="105"/>
      <c r="B353" s="105"/>
      <c r="C353" s="106"/>
      <c r="D353" s="105"/>
      <c r="E353" s="105"/>
      <c r="F353" s="105"/>
      <c r="G353" s="105"/>
      <c r="H353" s="106"/>
      <c r="I353" s="107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4.25" customHeight="1">
      <c r="A354" s="105"/>
      <c r="B354" s="105"/>
      <c r="C354" s="106"/>
      <c r="D354" s="105"/>
      <c r="E354" s="105"/>
      <c r="F354" s="105"/>
      <c r="G354" s="105"/>
      <c r="H354" s="106"/>
      <c r="I354" s="107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4.25" customHeight="1">
      <c r="A355" s="105"/>
      <c r="B355" s="105"/>
      <c r="C355" s="106"/>
      <c r="D355" s="105"/>
      <c r="E355" s="105"/>
      <c r="F355" s="105"/>
      <c r="G355" s="105"/>
      <c r="H355" s="106"/>
      <c r="I355" s="107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4.25" customHeight="1">
      <c r="A356" s="105"/>
      <c r="B356" s="105"/>
      <c r="C356" s="106"/>
      <c r="D356" s="105"/>
      <c r="E356" s="105"/>
      <c r="F356" s="105"/>
      <c r="G356" s="105"/>
      <c r="H356" s="106"/>
      <c r="I356" s="107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4.25" customHeight="1">
      <c r="A357" s="105"/>
      <c r="B357" s="105"/>
      <c r="C357" s="106"/>
      <c r="D357" s="105"/>
      <c r="E357" s="105"/>
      <c r="F357" s="105"/>
      <c r="G357" s="105"/>
      <c r="H357" s="106"/>
      <c r="I357" s="107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4.25" customHeight="1">
      <c r="A358" s="105"/>
      <c r="B358" s="105"/>
      <c r="C358" s="106"/>
      <c r="D358" s="105"/>
      <c r="E358" s="105"/>
      <c r="F358" s="105"/>
      <c r="G358" s="105"/>
      <c r="H358" s="106"/>
      <c r="I358" s="107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4.25" customHeight="1">
      <c r="A359" s="105"/>
      <c r="B359" s="105"/>
      <c r="C359" s="106"/>
      <c r="D359" s="105"/>
      <c r="E359" s="105"/>
      <c r="F359" s="105"/>
      <c r="G359" s="105"/>
      <c r="H359" s="106"/>
      <c r="I359" s="107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4.25" customHeight="1">
      <c r="A360" s="105"/>
      <c r="B360" s="105"/>
      <c r="C360" s="106"/>
      <c r="D360" s="105"/>
      <c r="E360" s="105"/>
      <c r="F360" s="105"/>
      <c r="G360" s="105"/>
      <c r="H360" s="106"/>
      <c r="I360" s="107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4.25" customHeight="1">
      <c r="A361" s="105"/>
      <c r="B361" s="105"/>
      <c r="C361" s="106"/>
      <c r="D361" s="105"/>
      <c r="E361" s="105"/>
      <c r="F361" s="105"/>
      <c r="G361" s="105"/>
      <c r="H361" s="106"/>
      <c r="I361" s="107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4.25" customHeight="1">
      <c r="A362" s="105"/>
      <c r="B362" s="105"/>
      <c r="C362" s="106"/>
      <c r="D362" s="105"/>
      <c r="E362" s="105"/>
      <c r="F362" s="105"/>
      <c r="G362" s="105"/>
      <c r="H362" s="106"/>
      <c r="I362" s="107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4.25" customHeight="1">
      <c r="A363" s="105"/>
      <c r="B363" s="105"/>
      <c r="C363" s="106"/>
      <c r="D363" s="105"/>
      <c r="E363" s="105"/>
      <c r="F363" s="105"/>
      <c r="G363" s="105"/>
      <c r="H363" s="106"/>
      <c r="I363" s="107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4.25" customHeight="1">
      <c r="A364" s="105"/>
      <c r="B364" s="105"/>
      <c r="C364" s="106"/>
      <c r="D364" s="105"/>
      <c r="E364" s="105"/>
      <c r="F364" s="105"/>
      <c r="G364" s="105"/>
      <c r="H364" s="106"/>
      <c r="I364" s="107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4.25" customHeight="1">
      <c r="A365" s="105"/>
      <c r="B365" s="105"/>
      <c r="C365" s="106"/>
      <c r="D365" s="105"/>
      <c r="E365" s="105"/>
      <c r="F365" s="105"/>
      <c r="G365" s="105"/>
      <c r="H365" s="106"/>
      <c r="I365" s="107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4.25" customHeight="1">
      <c r="A366" s="105"/>
      <c r="B366" s="105"/>
      <c r="C366" s="106"/>
      <c r="D366" s="105"/>
      <c r="E366" s="105"/>
      <c r="F366" s="105"/>
      <c r="G366" s="105"/>
      <c r="H366" s="106"/>
      <c r="I366" s="107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4.25" customHeight="1">
      <c r="A367" s="105"/>
      <c r="B367" s="105"/>
      <c r="C367" s="106"/>
      <c r="D367" s="105"/>
      <c r="E367" s="105"/>
      <c r="F367" s="105"/>
      <c r="G367" s="105"/>
      <c r="H367" s="106"/>
      <c r="I367" s="107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4.25" customHeight="1">
      <c r="A368" s="105"/>
      <c r="B368" s="105"/>
      <c r="C368" s="106"/>
      <c r="D368" s="105"/>
      <c r="E368" s="105"/>
      <c r="F368" s="105"/>
      <c r="G368" s="105"/>
      <c r="H368" s="106"/>
      <c r="I368" s="107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4.25" customHeight="1">
      <c r="A369" s="105"/>
      <c r="B369" s="105"/>
      <c r="C369" s="106"/>
      <c r="D369" s="105"/>
      <c r="E369" s="105"/>
      <c r="F369" s="105"/>
      <c r="G369" s="105"/>
      <c r="H369" s="106"/>
      <c r="I369" s="107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4.25" customHeight="1">
      <c r="A370" s="105"/>
      <c r="B370" s="105"/>
      <c r="C370" s="106"/>
      <c r="D370" s="105"/>
      <c r="E370" s="105"/>
      <c r="F370" s="105"/>
      <c r="G370" s="105"/>
      <c r="H370" s="106"/>
      <c r="I370" s="107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4.25" customHeight="1">
      <c r="A371" s="105"/>
      <c r="B371" s="105"/>
      <c r="C371" s="106"/>
      <c r="D371" s="105"/>
      <c r="E371" s="105"/>
      <c r="F371" s="105"/>
      <c r="G371" s="105"/>
      <c r="H371" s="106"/>
      <c r="I371" s="107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4.25" customHeight="1">
      <c r="A372" s="105"/>
      <c r="B372" s="105"/>
      <c r="C372" s="106"/>
      <c r="D372" s="105"/>
      <c r="E372" s="105"/>
      <c r="F372" s="105"/>
      <c r="G372" s="105"/>
      <c r="H372" s="106"/>
      <c r="I372" s="107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4.25" customHeight="1">
      <c r="A373" s="105"/>
      <c r="B373" s="105"/>
      <c r="C373" s="106"/>
      <c r="D373" s="105"/>
      <c r="E373" s="105"/>
      <c r="F373" s="105"/>
      <c r="G373" s="105"/>
      <c r="H373" s="106"/>
      <c r="I373" s="107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4.25" customHeight="1">
      <c r="A374" s="105"/>
      <c r="B374" s="105"/>
      <c r="C374" s="106"/>
      <c r="D374" s="105"/>
      <c r="E374" s="105"/>
      <c r="F374" s="105"/>
      <c r="G374" s="105"/>
      <c r="H374" s="106"/>
      <c r="I374" s="107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4.25" customHeight="1">
      <c r="A375" s="105"/>
      <c r="B375" s="105"/>
      <c r="C375" s="106"/>
      <c r="D375" s="105"/>
      <c r="E375" s="105"/>
      <c r="F375" s="105"/>
      <c r="G375" s="105"/>
      <c r="H375" s="106"/>
      <c r="I375" s="107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4.25" customHeight="1">
      <c r="A376" s="105"/>
      <c r="B376" s="105"/>
      <c r="C376" s="106"/>
      <c r="D376" s="105"/>
      <c r="E376" s="105"/>
      <c r="F376" s="105"/>
      <c r="G376" s="105"/>
      <c r="H376" s="106"/>
      <c r="I376" s="107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4.25" customHeight="1">
      <c r="A377" s="105"/>
      <c r="B377" s="105"/>
      <c r="C377" s="106"/>
      <c r="D377" s="105"/>
      <c r="E377" s="105"/>
      <c r="F377" s="105"/>
      <c r="G377" s="105"/>
      <c r="H377" s="106"/>
      <c r="I377" s="107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4.25" customHeight="1">
      <c r="A378" s="105"/>
      <c r="B378" s="105"/>
      <c r="C378" s="106"/>
      <c r="D378" s="105"/>
      <c r="E378" s="105"/>
      <c r="F378" s="105"/>
      <c r="G378" s="105"/>
      <c r="H378" s="106"/>
      <c r="I378" s="107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4.25" customHeight="1">
      <c r="A379" s="105"/>
      <c r="B379" s="105"/>
      <c r="C379" s="106"/>
      <c r="D379" s="105"/>
      <c r="E379" s="105"/>
      <c r="F379" s="105"/>
      <c r="G379" s="105"/>
      <c r="H379" s="106"/>
      <c r="I379" s="107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4.25" customHeight="1">
      <c r="A380" s="105"/>
      <c r="B380" s="105"/>
      <c r="C380" s="106"/>
      <c r="D380" s="105"/>
      <c r="E380" s="105"/>
      <c r="F380" s="105"/>
      <c r="G380" s="105"/>
      <c r="H380" s="106"/>
      <c r="I380" s="107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4.25" customHeight="1">
      <c r="A381" s="105"/>
      <c r="B381" s="105"/>
      <c r="C381" s="106"/>
      <c r="D381" s="105"/>
      <c r="E381" s="105"/>
      <c r="F381" s="105"/>
      <c r="G381" s="105"/>
      <c r="H381" s="106"/>
      <c r="I381" s="107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4.25" customHeight="1">
      <c r="A382" s="105"/>
      <c r="B382" s="105"/>
      <c r="C382" s="106"/>
      <c r="D382" s="105"/>
      <c r="E382" s="105"/>
      <c r="F382" s="105"/>
      <c r="G382" s="105"/>
      <c r="H382" s="106"/>
      <c r="I382" s="107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4.25" customHeight="1">
      <c r="A383" s="105"/>
      <c r="B383" s="105"/>
      <c r="C383" s="106"/>
      <c r="D383" s="105"/>
      <c r="E383" s="105"/>
      <c r="F383" s="105"/>
      <c r="G383" s="105"/>
      <c r="H383" s="106"/>
      <c r="I383" s="107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4.25" customHeight="1">
      <c r="A384" s="105"/>
      <c r="B384" s="105"/>
      <c r="C384" s="106"/>
      <c r="D384" s="105"/>
      <c r="E384" s="105"/>
      <c r="F384" s="105"/>
      <c r="G384" s="105"/>
      <c r="H384" s="106"/>
      <c r="I384" s="107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4.25" customHeight="1">
      <c r="A385" s="105"/>
      <c r="B385" s="105"/>
      <c r="C385" s="106"/>
      <c r="D385" s="105"/>
      <c r="E385" s="105"/>
      <c r="F385" s="105"/>
      <c r="G385" s="105"/>
      <c r="H385" s="106"/>
      <c r="I385" s="107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4.25" customHeight="1">
      <c r="A386" s="105"/>
      <c r="B386" s="105"/>
      <c r="C386" s="106"/>
      <c r="D386" s="105"/>
      <c r="E386" s="105"/>
      <c r="F386" s="105"/>
      <c r="G386" s="105"/>
      <c r="H386" s="106"/>
      <c r="I386" s="107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4.25" customHeight="1">
      <c r="A387" s="105"/>
      <c r="B387" s="105"/>
      <c r="C387" s="106"/>
      <c r="D387" s="105"/>
      <c r="E387" s="105"/>
      <c r="F387" s="105"/>
      <c r="G387" s="105"/>
      <c r="H387" s="106"/>
      <c r="I387" s="107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4.25" customHeight="1">
      <c r="A388" s="105"/>
      <c r="B388" s="105"/>
      <c r="C388" s="106"/>
      <c r="D388" s="105"/>
      <c r="E388" s="105"/>
      <c r="F388" s="105"/>
      <c r="G388" s="105"/>
      <c r="H388" s="106"/>
      <c r="I388" s="107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4.25" customHeight="1">
      <c r="A389" s="105"/>
      <c r="B389" s="105"/>
      <c r="C389" s="106"/>
      <c r="D389" s="105"/>
      <c r="E389" s="105"/>
      <c r="F389" s="105"/>
      <c r="G389" s="105"/>
      <c r="H389" s="106"/>
      <c r="I389" s="107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4.25" customHeight="1">
      <c r="A390" s="105"/>
      <c r="B390" s="105"/>
      <c r="C390" s="106"/>
      <c r="D390" s="105"/>
      <c r="E390" s="105"/>
      <c r="F390" s="105"/>
      <c r="G390" s="105"/>
      <c r="H390" s="106"/>
      <c r="I390" s="107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4.25" customHeight="1">
      <c r="A391" s="105"/>
      <c r="B391" s="105"/>
      <c r="C391" s="106"/>
      <c r="D391" s="105"/>
      <c r="E391" s="105"/>
      <c r="F391" s="105"/>
      <c r="G391" s="105"/>
      <c r="H391" s="106"/>
      <c r="I391" s="107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4.25" customHeight="1">
      <c r="A392" s="105"/>
      <c r="B392" s="105"/>
      <c r="C392" s="106"/>
      <c r="D392" s="105"/>
      <c r="E392" s="105"/>
      <c r="F392" s="105"/>
      <c r="G392" s="105"/>
      <c r="H392" s="106"/>
      <c r="I392" s="107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4.25" customHeight="1">
      <c r="A393" s="105"/>
      <c r="B393" s="105"/>
      <c r="C393" s="106"/>
      <c r="D393" s="105"/>
      <c r="E393" s="105"/>
      <c r="F393" s="105"/>
      <c r="G393" s="105"/>
      <c r="H393" s="106"/>
      <c r="I393" s="107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4.25" customHeight="1">
      <c r="A394" s="105"/>
      <c r="B394" s="105"/>
      <c r="C394" s="106"/>
      <c r="D394" s="105"/>
      <c r="E394" s="105"/>
      <c r="F394" s="105"/>
      <c r="G394" s="105"/>
      <c r="H394" s="106"/>
      <c r="I394" s="107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4.25" customHeight="1">
      <c r="A395" s="105"/>
      <c r="B395" s="105"/>
      <c r="C395" s="106"/>
      <c r="D395" s="105"/>
      <c r="E395" s="105"/>
      <c r="F395" s="105"/>
      <c r="G395" s="105"/>
      <c r="H395" s="106"/>
      <c r="I395" s="107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4.25" customHeight="1">
      <c r="A396" s="105"/>
      <c r="B396" s="105"/>
      <c r="C396" s="106"/>
      <c r="D396" s="105"/>
      <c r="E396" s="105"/>
      <c r="F396" s="105"/>
      <c r="G396" s="105"/>
      <c r="H396" s="106"/>
      <c r="I396" s="107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4.25" customHeight="1">
      <c r="A397" s="105"/>
      <c r="B397" s="105"/>
      <c r="C397" s="106"/>
      <c r="D397" s="105"/>
      <c r="E397" s="105"/>
      <c r="F397" s="105"/>
      <c r="G397" s="105"/>
      <c r="H397" s="106"/>
      <c r="I397" s="107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4.25" customHeight="1">
      <c r="A398" s="105"/>
      <c r="B398" s="105"/>
      <c r="C398" s="106"/>
      <c r="D398" s="105"/>
      <c r="E398" s="105"/>
      <c r="F398" s="105"/>
      <c r="G398" s="105"/>
      <c r="H398" s="106"/>
      <c r="I398" s="107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4.25" customHeight="1">
      <c r="A399" s="105"/>
      <c r="B399" s="105"/>
      <c r="C399" s="106"/>
      <c r="D399" s="105"/>
      <c r="E399" s="105"/>
      <c r="F399" s="105"/>
      <c r="G399" s="105"/>
      <c r="H399" s="106"/>
      <c r="I399" s="107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4.25" customHeight="1">
      <c r="A400" s="105"/>
      <c r="B400" s="105"/>
      <c r="C400" s="106"/>
      <c r="D400" s="105"/>
      <c r="E400" s="105"/>
      <c r="F400" s="105"/>
      <c r="G400" s="105"/>
      <c r="H400" s="106"/>
      <c r="I400" s="107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4.25" customHeight="1">
      <c r="A401" s="105"/>
      <c r="B401" s="105"/>
      <c r="C401" s="106"/>
      <c r="D401" s="105"/>
      <c r="E401" s="105"/>
      <c r="F401" s="105"/>
      <c r="G401" s="105"/>
      <c r="H401" s="106"/>
      <c r="I401" s="107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4.25" customHeight="1">
      <c r="A402" s="105"/>
      <c r="B402" s="105"/>
      <c r="C402" s="106"/>
      <c r="D402" s="105"/>
      <c r="E402" s="105"/>
      <c r="F402" s="105"/>
      <c r="G402" s="105"/>
      <c r="H402" s="106"/>
      <c r="I402" s="107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4.25" customHeight="1">
      <c r="A403" s="105"/>
      <c r="B403" s="105"/>
      <c r="C403" s="106"/>
      <c r="D403" s="105"/>
      <c r="E403" s="105"/>
      <c r="F403" s="105"/>
      <c r="G403" s="105"/>
      <c r="H403" s="106"/>
      <c r="I403" s="107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4.25" customHeight="1">
      <c r="A404" s="105"/>
      <c r="B404" s="105"/>
      <c r="C404" s="106"/>
      <c r="D404" s="105"/>
      <c r="E404" s="105"/>
      <c r="F404" s="105"/>
      <c r="G404" s="105"/>
      <c r="H404" s="106"/>
      <c r="I404" s="107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4.25" customHeight="1">
      <c r="A405" s="105"/>
      <c r="B405" s="105"/>
      <c r="C405" s="106"/>
      <c r="D405" s="105"/>
      <c r="E405" s="105"/>
      <c r="F405" s="105"/>
      <c r="G405" s="105"/>
      <c r="H405" s="106"/>
      <c r="I405" s="107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4.25" customHeight="1">
      <c r="A406" s="105"/>
      <c r="B406" s="105"/>
      <c r="C406" s="106"/>
      <c r="D406" s="105"/>
      <c r="E406" s="105"/>
      <c r="F406" s="105"/>
      <c r="G406" s="105"/>
      <c r="H406" s="106"/>
      <c r="I406" s="107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4.25" customHeight="1">
      <c r="A407" s="105"/>
      <c r="B407" s="105"/>
      <c r="C407" s="106"/>
      <c r="D407" s="105"/>
      <c r="E407" s="105"/>
      <c r="F407" s="105"/>
      <c r="G407" s="105"/>
      <c r="H407" s="106"/>
      <c r="I407" s="107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4.25" customHeight="1">
      <c r="A408" s="105"/>
      <c r="B408" s="105"/>
      <c r="C408" s="106"/>
      <c r="D408" s="105"/>
      <c r="E408" s="105"/>
      <c r="F408" s="105"/>
      <c r="G408" s="105"/>
      <c r="H408" s="106"/>
      <c r="I408" s="107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4.25" customHeight="1">
      <c r="A409" s="105"/>
      <c r="B409" s="105"/>
      <c r="C409" s="106"/>
      <c r="D409" s="105"/>
      <c r="E409" s="105"/>
      <c r="F409" s="105"/>
      <c r="G409" s="105"/>
      <c r="H409" s="106"/>
      <c r="I409" s="107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4.25" customHeight="1">
      <c r="A410" s="105"/>
      <c r="B410" s="105"/>
      <c r="C410" s="106"/>
      <c r="D410" s="105"/>
      <c r="E410" s="105"/>
      <c r="F410" s="105"/>
      <c r="G410" s="105"/>
      <c r="H410" s="106"/>
      <c r="I410" s="107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4.25" customHeight="1">
      <c r="A411" s="105"/>
      <c r="B411" s="105"/>
      <c r="C411" s="106"/>
      <c r="D411" s="105"/>
      <c r="E411" s="105"/>
      <c r="F411" s="105"/>
      <c r="G411" s="105"/>
      <c r="H411" s="106"/>
      <c r="I411" s="107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4.25" customHeight="1">
      <c r="A412" s="105"/>
      <c r="B412" s="105"/>
      <c r="C412" s="106"/>
      <c r="D412" s="105"/>
      <c r="E412" s="105"/>
      <c r="F412" s="105"/>
      <c r="G412" s="105"/>
      <c r="H412" s="106"/>
      <c r="I412" s="107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4.25" customHeight="1">
      <c r="A413" s="105"/>
      <c r="B413" s="105"/>
      <c r="C413" s="106"/>
      <c r="D413" s="105"/>
      <c r="E413" s="105"/>
      <c r="F413" s="105"/>
      <c r="G413" s="105"/>
      <c r="H413" s="106"/>
      <c r="I413" s="107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4.25" customHeight="1">
      <c r="A414" s="105"/>
      <c r="B414" s="105"/>
      <c r="C414" s="106"/>
      <c r="D414" s="105"/>
      <c r="E414" s="105"/>
      <c r="F414" s="105"/>
      <c r="G414" s="105"/>
      <c r="H414" s="106"/>
      <c r="I414" s="107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4.25" customHeight="1">
      <c r="A415" s="105"/>
      <c r="B415" s="105"/>
      <c r="C415" s="106"/>
      <c r="D415" s="105"/>
      <c r="E415" s="105"/>
      <c r="F415" s="105"/>
      <c r="G415" s="105"/>
      <c r="H415" s="106"/>
      <c r="I415" s="107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4.25" customHeight="1">
      <c r="A416" s="105"/>
      <c r="B416" s="105"/>
      <c r="C416" s="106"/>
      <c r="D416" s="105"/>
      <c r="E416" s="105"/>
      <c r="F416" s="105"/>
      <c r="G416" s="105"/>
      <c r="H416" s="106"/>
      <c r="I416" s="107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4.25" customHeight="1">
      <c r="A417" s="105"/>
      <c r="B417" s="105"/>
      <c r="C417" s="106"/>
      <c r="D417" s="105"/>
      <c r="E417" s="105"/>
      <c r="F417" s="105"/>
      <c r="G417" s="105"/>
      <c r="H417" s="106"/>
      <c r="I417" s="107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4.25" customHeight="1">
      <c r="A418" s="105"/>
      <c r="B418" s="105"/>
      <c r="C418" s="106"/>
      <c r="D418" s="105"/>
      <c r="E418" s="105"/>
      <c r="F418" s="105"/>
      <c r="G418" s="105"/>
      <c r="H418" s="106"/>
      <c r="I418" s="107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4.25" customHeight="1">
      <c r="A419" s="105"/>
      <c r="B419" s="105"/>
      <c r="C419" s="106"/>
      <c r="D419" s="105"/>
      <c r="E419" s="105"/>
      <c r="F419" s="105"/>
      <c r="G419" s="105"/>
      <c r="H419" s="106"/>
      <c r="I419" s="107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4.25" customHeight="1">
      <c r="A420" s="105"/>
      <c r="B420" s="105"/>
      <c r="C420" s="106"/>
      <c r="D420" s="105"/>
      <c r="E420" s="105"/>
      <c r="F420" s="105"/>
      <c r="G420" s="105"/>
      <c r="H420" s="106"/>
      <c r="I420" s="107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4.25" customHeight="1">
      <c r="A421" s="105"/>
      <c r="B421" s="105"/>
      <c r="C421" s="106"/>
      <c r="D421" s="105"/>
      <c r="E421" s="105"/>
      <c r="F421" s="105"/>
      <c r="G421" s="105"/>
      <c r="H421" s="106"/>
      <c r="I421" s="107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4.25" customHeight="1">
      <c r="A422" s="105"/>
      <c r="B422" s="105"/>
      <c r="C422" s="106"/>
      <c r="D422" s="105"/>
      <c r="E422" s="105"/>
      <c r="F422" s="105"/>
      <c r="G422" s="105"/>
      <c r="H422" s="106"/>
      <c r="I422" s="107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4.25" customHeight="1">
      <c r="A423" s="105"/>
      <c r="B423" s="105"/>
      <c r="C423" s="106"/>
      <c r="D423" s="105"/>
      <c r="E423" s="105"/>
      <c r="F423" s="105"/>
      <c r="G423" s="105"/>
      <c r="H423" s="106"/>
      <c r="I423" s="107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4.25" customHeight="1">
      <c r="A424" s="105"/>
      <c r="B424" s="105"/>
      <c r="C424" s="106"/>
      <c r="D424" s="105"/>
      <c r="E424" s="105"/>
      <c r="F424" s="105"/>
      <c r="G424" s="105"/>
      <c r="H424" s="106"/>
      <c r="I424" s="107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4.25" customHeight="1">
      <c r="A425" s="105"/>
      <c r="B425" s="105"/>
      <c r="C425" s="106"/>
      <c r="D425" s="105"/>
      <c r="E425" s="105"/>
      <c r="F425" s="105"/>
      <c r="G425" s="105"/>
      <c r="H425" s="106"/>
      <c r="I425" s="107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4.25" customHeight="1">
      <c r="A426" s="105"/>
      <c r="B426" s="105"/>
      <c r="C426" s="106"/>
      <c r="D426" s="105"/>
      <c r="E426" s="105"/>
      <c r="F426" s="105"/>
      <c r="G426" s="105"/>
      <c r="H426" s="106"/>
      <c r="I426" s="107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4.25" customHeight="1">
      <c r="A427" s="105"/>
      <c r="B427" s="105"/>
      <c r="C427" s="106"/>
      <c r="D427" s="105"/>
      <c r="E427" s="105"/>
      <c r="F427" s="105"/>
      <c r="G427" s="105"/>
      <c r="H427" s="106"/>
      <c r="I427" s="107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4.25" customHeight="1">
      <c r="A428" s="105"/>
      <c r="B428" s="105"/>
      <c r="C428" s="106"/>
      <c r="D428" s="105"/>
      <c r="E428" s="105"/>
      <c r="F428" s="105"/>
      <c r="G428" s="105"/>
      <c r="H428" s="106"/>
      <c r="I428" s="107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4.25" customHeight="1">
      <c r="A429" s="105"/>
      <c r="B429" s="105"/>
      <c r="C429" s="106"/>
      <c r="D429" s="105"/>
      <c r="E429" s="105"/>
      <c r="F429" s="105"/>
      <c r="G429" s="105"/>
      <c r="H429" s="106"/>
      <c r="I429" s="107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4.25" customHeight="1">
      <c r="A430" s="105"/>
      <c r="B430" s="105"/>
      <c r="C430" s="106"/>
      <c r="D430" s="105"/>
      <c r="E430" s="105"/>
      <c r="F430" s="105"/>
      <c r="G430" s="105"/>
      <c r="H430" s="106"/>
      <c r="I430" s="107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4.25" customHeight="1">
      <c r="A431" s="105"/>
      <c r="B431" s="105"/>
      <c r="C431" s="106"/>
      <c r="D431" s="105"/>
      <c r="E431" s="105"/>
      <c r="F431" s="105"/>
      <c r="G431" s="105"/>
      <c r="H431" s="106"/>
      <c r="I431" s="107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4.25" customHeight="1">
      <c r="A432" s="105"/>
      <c r="B432" s="105"/>
      <c r="C432" s="106"/>
      <c r="D432" s="105"/>
      <c r="E432" s="105"/>
      <c r="F432" s="105"/>
      <c r="G432" s="105"/>
      <c r="H432" s="106"/>
      <c r="I432" s="107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4.25" customHeight="1">
      <c r="A433" s="105"/>
      <c r="B433" s="105"/>
      <c r="C433" s="106"/>
      <c r="D433" s="105"/>
      <c r="E433" s="105"/>
      <c r="F433" s="105"/>
      <c r="G433" s="105"/>
      <c r="H433" s="106"/>
      <c r="I433" s="107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4.25" customHeight="1">
      <c r="A434" s="105"/>
      <c r="B434" s="105"/>
      <c r="C434" s="106"/>
      <c r="D434" s="105"/>
      <c r="E434" s="105"/>
      <c r="F434" s="105"/>
      <c r="G434" s="105"/>
      <c r="H434" s="106"/>
      <c r="I434" s="107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4.25" customHeight="1">
      <c r="A435" s="105"/>
      <c r="B435" s="105"/>
      <c r="C435" s="106"/>
      <c r="D435" s="105"/>
      <c r="E435" s="105"/>
      <c r="F435" s="105"/>
      <c r="G435" s="105"/>
      <c r="H435" s="106"/>
      <c r="I435" s="107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4.25" customHeight="1">
      <c r="A436" s="105"/>
      <c r="B436" s="105"/>
      <c r="C436" s="106"/>
      <c r="D436" s="105"/>
      <c r="E436" s="105"/>
      <c r="F436" s="105"/>
      <c r="G436" s="105"/>
      <c r="H436" s="106"/>
      <c r="I436" s="107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4.25" customHeight="1">
      <c r="A437" s="105"/>
      <c r="B437" s="105"/>
      <c r="C437" s="106"/>
      <c r="D437" s="105"/>
      <c r="E437" s="105"/>
      <c r="F437" s="105"/>
      <c r="G437" s="105"/>
      <c r="H437" s="106"/>
      <c r="I437" s="107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4.25" customHeight="1">
      <c r="A438" s="105"/>
      <c r="B438" s="105"/>
      <c r="C438" s="106"/>
      <c r="D438" s="105"/>
      <c r="E438" s="105"/>
      <c r="F438" s="105"/>
      <c r="G438" s="105"/>
      <c r="H438" s="106"/>
      <c r="I438" s="107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4.25" customHeight="1">
      <c r="A439" s="105"/>
      <c r="B439" s="105"/>
      <c r="C439" s="106"/>
      <c r="D439" s="105"/>
      <c r="E439" s="105"/>
      <c r="F439" s="105"/>
      <c r="G439" s="105"/>
      <c r="H439" s="106"/>
      <c r="I439" s="107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4.25" customHeight="1">
      <c r="A440" s="105"/>
      <c r="B440" s="105"/>
      <c r="C440" s="106"/>
      <c r="D440" s="105"/>
      <c r="E440" s="105"/>
      <c r="F440" s="105"/>
      <c r="G440" s="105"/>
      <c r="H440" s="106"/>
      <c r="I440" s="107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4.25" customHeight="1">
      <c r="A441" s="105"/>
      <c r="B441" s="105"/>
      <c r="C441" s="106"/>
      <c r="D441" s="105"/>
      <c r="E441" s="105"/>
      <c r="F441" s="105"/>
      <c r="G441" s="105"/>
      <c r="H441" s="106"/>
      <c r="I441" s="107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4.25" customHeight="1">
      <c r="A442" s="105"/>
      <c r="B442" s="105"/>
      <c r="C442" s="106"/>
      <c r="D442" s="105"/>
      <c r="E442" s="105"/>
      <c r="F442" s="105"/>
      <c r="G442" s="105"/>
      <c r="H442" s="106"/>
      <c r="I442" s="107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4.25" customHeight="1">
      <c r="A443" s="105"/>
      <c r="B443" s="105"/>
      <c r="C443" s="106"/>
      <c r="D443" s="105"/>
      <c r="E443" s="105"/>
      <c r="F443" s="105"/>
      <c r="G443" s="105"/>
      <c r="H443" s="106"/>
      <c r="I443" s="107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4.25" customHeight="1">
      <c r="A444" s="105"/>
      <c r="B444" s="105"/>
      <c r="C444" s="106"/>
      <c r="D444" s="105"/>
      <c r="E444" s="105"/>
      <c r="F444" s="105"/>
      <c r="G444" s="105"/>
      <c r="H444" s="106"/>
      <c r="I444" s="107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4.25" customHeight="1">
      <c r="A445" s="105"/>
      <c r="B445" s="105"/>
      <c r="C445" s="106"/>
      <c r="D445" s="105"/>
      <c r="E445" s="105"/>
      <c r="F445" s="105"/>
      <c r="G445" s="105"/>
      <c r="H445" s="106"/>
      <c r="I445" s="107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4.25" customHeight="1">
      <c r="A446" s="105"/>
      <c r="B446" s="105"/>
      <c r="C446" s="106"/>
      <c r="D446" s="105"/>
      <c r="E446" s="105"/>
      <c r="F446" s="105"/>
      <c r="G446" s="105"/>
      <c r="H446" s="106"/>
      <c r="I446" s="107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4.25" customHeight="1">
      <c r="A447" s="105"/>
      <c r="B447" s="105"/>
      <c r="C447" s="106"/>
      <c r="D447" s="105"/>
      <c r="E447" s="105"/>
      <c r="F447" s="105"/>
      <c r="G447" s="105"/>
      <c r="H447" s="106"/>
      <c r="I447" s="107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4.25" customHeight="1">
      <c r="A448" s="105"/>
      <c r="B448" s="105"/>
      <c r="C448" s="106"/>
      <c r="D448" s="105"/>
      <c r="E448" s="105"/>
      <c r="F448" s="105"/>
      <c r="G448" s="105"/>
      <c r="H448" s="106"/>
      <c r="I448" s="107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4.25" customHeight="1">
      <c r="A449" s="105"/>
      <c r="B449" s="105"/>
      <c r="C449" s="106"/>
      <c r="D449" s="105"/>
      <c r="E449" s="105"/>
      <c r="F449" s="105"/>
      <c r="G449" s="105"/>
      <c r="H449" s="106"/>
      <c r="I449" s="107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4.25" customHeight="1">
      <c r="A450" s="105"/>
      <c r="B450" s="105"/>
      <c r="C450" s="106"/>
      <c r="D450" s="105"/>
      <c r="E450" s="105"/>
      <c r="F450" s="105"/>
      <c r="G450" s="105"/>
      <c r="H450" s="106"/>
      <c r="I450" s="107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4.25" customHeight="1">
      <c r="A451" s="105"/>
      <c r="B451" s="105"/>
      <c r="C451" s="106"/>
      <c r="D451" s="105"/>
      <c r="E451" s="105"/>
      <c r="F451" s="105"/>
      <c r="G451" s="105"/>
      <c r="H451" s="106"/>
      <c r="I451" s="107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4.25" customHeight="1">
      <c r="A452" s="105"/>
      <c r="B452" s="105"/>
      <c r="C452" s="106"/>
      <c r="D452" s="105"/>
      <c r="E452" s="105"/>
      <c r="F452" s="105"/>
      <c r="G452" s="105"/>
      <c r="H452" s="106"/>
      <c r="I452" s="107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4.25" customHeight="1">
      <c r="A453" s="105"/>
      <c r="B453" s="105"/>
      <c r="C453" s="106"/>
      <c r="D453" s="105"/>
      <c r="E453" s="105"/>
      <c r="F453" s="105"/>
      <c r="G453" s="105"/>
      <c r="H453" s="106"/>
      <c r="I453" s="107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4.25" customHeight="1">
      <c r="A454" s="105"/>
      <c r="B454" s="105"/>
      <c r="C454" s="106"/>
      <c r="D454" s="105"/>
      <c r="E454" s="105"/>
      <c r="F454" s="105"/>
      <c r="G454" s="105"/>
      <c r="H454" s="106"/>
      <c r="I454" s="107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4.25" customHeight="1">
      <c r="A455" s="105"/>
      <c r="B455" s="105"/>
      <c r="C455" s="106"/>
      <c r="D455" s="105"/>
      <c r="E455" s="105"/>
      <c r="F455" s="105"/>
      <c r="G455" s="105"/>
      <c r="H455" s="106"/>
      <c r="I455" s="107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4.25" customHeight="1">
      <c r="A456" s="105"/>
      <c r="B456" s="105"/>
      <c r="C456" s="106"/>
      <c r="D456" s="105"/>
      <c r="E456" s="105"/>
      <c r="F456" s="105"/>
      <c r="G456" s="105"/>
      <c r="H456" s="106"/>
      <c r="I456" s="107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4.25" customHeight="1">
      <c r="A457" s="105"/>
      <c r="B457" s="105"/>
      <c r="C457" s="106"/>
      <c r="D457" s="105"/>
      <c r="E457" s="105"/>
      <c r="F457" s="105"/>
      <c r="G457" s="105"/>
      <c r="H457" s="106"/>
      <c r="I457" s="107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4.25" customHeight="1">
      <c r="A458" s="105"/>
      <c r="B458" s="105"/>
      <c r="C458" s="106"/>
      <c r="D458" s="105"/>
      <c r="E458" s="105"/>
      <c r="F458" s="105"/>
      <c r="G458" s="105"/>
      <c r="H458" s="106"/>
      <c r="I458" s="107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4.25" customHeight="1">
      <c r="A459" s="105"/>
      <c r="B459" s="105"/>
      <c r="C459" s="106"/>
      <c r="D459" s="105"/>
      <c r="E459" s="105"/>
      <c r="F459" s="105"/>
      <c r="G459" s="105"/>
      <c r="H459" s="106"/>
      <c r="I459" s="107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4.25" customHeight="1">
      <c r="A460" s="105"/>
      <c r="B460" s="105"/>
      <c r="C460" s="106"/>
      <c r="D460" s="105"/>
      <c r="E460" s="105"/>
      <c r="F460" s="105"/>
      <c r="G460" s="105"/>
      <c r="H460" s="106"/>
      <c r="I460" s="107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4.25" customHeight="1">
      <c r="A461" s="105"/>
      <c r="B461" s="105"/>
      <c r="C461" s="106"/>
      <c r="D461" s="105"/>
      <c r="E461" s="105"/>
      <c r="F461" s="105"/>
      <c r="G461" s="105"/>
      <c r="H461" s="106"/>
      <c r="I461" s="107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4.25" customHeight="1">
      <c r="A462" s="105"/>
      <c r="B462" s="105"/>
      <c r="C462" s="106"/>
      <c r="D462" s="105"/>
      <c r="E462" s="105"/>
      <c r="F462" s="105"/>
      <c r="G462" s="105"/>
      <c r="H462" s="106"/>
      <c r="I462" s="107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4.25" customHeight="1">
      <c r="A463" s="105"/>
      <c r="B463" s="105"/>
      <c r="C463" s="106"/>
      <c r="D463" s="105"/>
      <c r="E463" s="105"/>
      <c r="F463" s="105"/>
      <c r="G463" s="105"/>
      <c r="H463" s="106"/>
      <c r="I463" s="107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4.25" customHeight="1">
      <c r="A464" s="105"/>
      <c r="B464" s="105"/>
      <c r="C464" s="106"/>
      <c r="D464" s="105"/>
      <c r="E464" s="105"/>
      <c r="F464" s="105"/>
      <c r="G464" s="105"/>
      <c r="H464" s="106"/>
      <c r="I464" s="107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4.25" customHeight="1">
      <c r="A465" s="105"/>
      <c r="B465" s="105"/>
      <c r="C465" s="106"/>
      <c r="D465" s="105"/>
      <c r="E465" s="105"/>
      <c r="F465" s="105"/>
      <c r="G465" s="105"/>
      <c r="H465" s="106"/>
      <c r="I465" s="107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4.25" customHeight="1">
      <c r="A466" s="105"/>
      <c r="B466" s="105"/>
      <c r="C466" s="106"/>
      <c r="D466" s="105"/>
      <c r="E466" s="105"/>
      <c r="F466" s="105"/>
      <c r="G466" s="105"/>
      <c r="H466" s="106"/>
      <c r="I466" s="107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4.25" customHeight="1">
      <c r="A467" s="105"/>
      <c r="B467" s="105"/>
      <c r="C467" s="106"/>
      <c r="D467" s="105"/>
      <c r="E467" s="105"/>
      <c r="F467" s="105"/>
      <c r="G467" s="105"/>
      <c r="H467" s="106"/>
      <c r="I467" s="107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4.25" customHeight="1">
      <c r="A468" s="105"/>
      <c r="B468" s="105"/>
      <c r="C468" s="106"/>
      <c r="D468" s="105"/>
      <c r="E468" s="105"/>
      <c r="F468" s="105"/>
      <c r="G468" s="105"/>
      <c r="H468" s="106"/>
      <c r="I468" s="107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4.25" customHeight="1">
      <c r="A469" s="105"/>
      <c r="B469" s="105"/>
      <c r="C469" s="106"/>
      <c r="D469" s="105"/>
      <c r="E469" s="105"/>
      <c r="F469" s="105"/>
      <c r="G469" s="105"/>
      <c r="H469" s="106"/>
      <c r="I469" s="107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4.25" customHeight="1">
      <c r="A470" s="105"/>
      <c r="B470" s="105"/>
      <c r="C470" s="106"/>
      <c r="D470" s="105"/>
      <c r="E470" s="105"/>
      <c r="F470" s="105"/>
      <c r="G470" s="105"/>
      <c r="H470" s="106"/>
      <c r="I470" s="107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4.25" customHeight="1">
      <c r="A471" s="105"/>
      <c r="B471" s="105"/>
      <c r="C471" s="106"/>
      <c r="D471" s="105"/>
      <c r="E471" s="105"/>
      <c r="F471" s="105"/>
      <c r="G471" s="105"/>
      <c r="H471" s="106"/>
      <c r="I471" s="107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4.25" customHeight="1">
      <c r="A472" s="105"/>
      <c r="B472" s="105"/>
      <c r="C472" s="106"/>
      <c r="D472" s="105"/>
      <c r="E472" s="105"/>
      <c r="F472" s="105"/>
      <c r="G472" s="105"/>
      <c r="H472" s="106"/>
      <c r="I472" s="107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4.25" customHeight="1">
      <c r="A473" s="105"/>
      <c r="B473" s="105"/>
      <c r="C473" s="106"/>
      <c r="D473" s="105"/>
      <c r="E473" s="105"/>
      <c r="F473" s="105"/>
      <c r="G473" s="105"/>
      <c r="H473" s="106"/>
      <c r="I473" s="107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4.25" customHeight="1">
      <c r="A474" s="105"/>
      <c r="B474" s="105"/>
      <c r="C474" s="106"/>
      <c r="D474" s="105"/>
      <c r="E474" s="105"/>
      <c r="F474" s="105"/>
      <c r="G474" s="105"/>
      <c r="H474" s="106"/>
      <c r="I474" s="107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4.25" customHeight="1">
      <c r="A475" s="105"/>
      <c r="B475" s="105"/>
      <c r="C475" s="106"/>
      <c r="D475" s="105"/>
      <c r="E475" s="105"/>
      <c r="F475" s="105"/>
      <c r="G475" s="105"/>
      <c r="H475" s="106"/>
      <c r="I475" s="107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4.25" customHeight="1">
      <c r="A476" s="105"/>
      <c r="B476" s="105"/>
      <c r="C476" s="106"/>
      <c r="D476" s="105"/>
      <c r="E476" s="105"/>
      <c r="F476" s="105"/>
      <c r="G476" s="105"/>
      <c r="H476" s="106"/>
      <c r="I476" s="107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4.25" customHeight="1">
      <c r="A477" s="105"/>
      <c r="B477" s="105"/>
      <c r="C477" s="106"/>
      <c r="D477" s="105"/>
      <c r="E477" s="105"/>
      <c r="F477" s="105"/>
      <c r="G477" s="105"/>
      <c r="H477" s="106"/>
      <c r="I477" s="107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4.25" customHeight="1">
      <c r="A478" s="105"/>
      <c r="B478" s="105"/>
      <c r="C478" s="106"/>
      <c r="D478" s="105"/>
      <c r="E478" s="105"/>
      <c r="F478" s="105"/>
      <c r="G478" s="105"/>
      <c r="H478" s="106"/>
      <c r="I478" s="107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4.25" customHeight="1">
      <c r="A479" s="105"/>
      <c r="B479" s="105"/>
      <c r="C479" s="106"/>
      <c r="D479" s="105"/>
      <c r="E479" s="105"/>
      <c r="F479" s="105"/>
      <c r="G479" s="105"/>
      <c r="H479" s="106"/>
      <c r="I479" s="107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4.25" customHeight="1">
      <c r="A480" s="105"/>
      <c r="B480" s="105"/>
      <c r="C480" s="106"/>
      <c r="D480" s="105"/>
      <c r="E480" s="105"/>
      <c r="F480" s="105"/>
      <c r="G480" s="105"/>
      <c r="H480" s="106"/>
      <c r="I480" s="107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4.25" customHeight="1">
      <c r="A481" s="105"/>
      <c r="B481" s="105"/>
      <c r="C481" s="106"/>
      <c r="D481" s="105"/>
      <c r="E481" s="105"/>
      <c r="F481" s="105"/>
      <c r="G481" s="105"/>
      <c r="H481" s="106"/>
      <c r="I481" s="107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4.25" customHeight="1">
      <c r="A482" s="105"/>
      <c r="B482" s="105"/>
      <c r="C482" s="106"/>
      <c r="D482" s="105"/>
      <c r="E482" s="105"/>
      <c r="F482" s="105"/>
      <c r="G482" s="105"/>
      <c r="H482" s="106"/>
      <c r="I482" s="107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4.25" customHeight="1">
      <c r="A483" s="105"/>
      <c r="B483" s="105"/>
      <c r="C483" s="106"/>
      <c r="D483" s="105"/>
      <c r="E483" s="105"/>
      <c r="F483" s="105"/>
      <c r="G483" s="105"/>
      <c r="H483" s="106"/>
      <c r="I483" s="107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4.25" customHeight="1">
      <c r="A484" s="105"/>
      <c r="B484" s="105"/>
      <c r="C484" s="106"/>
      <c r="D484" s="105"/>
      <c r="E484" s="105"/>
      <c r="F484" s="105"/>
      <c r="G484" s="105"/>
      <c r="H484" s="106"/>
      <c r="I484" s="107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4.25" customHeight="1">
      <c r="A485" s="105"/>
      <c r="B485" s="105"/>
      <c r="C485" s="106"/>
      <c r="D485" s="105"/>
      <c r="E485" s="105"/>
      <c r="F485" s="105"/>
      <c r="G485" s="105"/>
      <c r="H485" s="106"/>
      <c r="I485" s="107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4.25" customHeight="1">
      <c r="A486" s="105"/>
      <c r="B486" s="105"/>
      <c r="C486" s="106"/>
      <c r="D486" s="105"/>
      <c r="E486" s="105"/>
      <c r="F486" s="105"/>
      <c r="G486" s="105"/>
      <c r="H486" s="106"/>
      <c r="I486" s="107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4.25" customHeight="1">
      <c r="A487" s="105"/>
      <c r="B487" s="105"/>
      <c r="C487" s="106"/>
      <c r="D487" s="105"/>
      <c r="E487" s="105"/>
      <c r="F487" s="105"/>
      <c r="G487" s="105"/>
      <c r="H487" s="106"/>
      <c r="I487" s="107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4.25" customHeight="1">
      <c r="A488" s="105"/>
      <c r="B488" s="105"/>
      <c r="C488" s="106"/>
      <c r="D488" s="105"/>
      <c r="E488" s="105"/>
      <c r="F488" s="105"/>
      <c r="G488" s="105"/>
      <c r="H488" s="106"/>
      <c r="I488" s="107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4.25" customHeight="1">
      <c r="A489" s="105"/>
      <c r="B489" s="105"/>
      <c r="C489" s="106"/>
      <c r="D489" s="105"/>
      <c r="E489" s="105"/>
      <c r="F489" s="105"/>
      <c r="G489" s="105"/>
      <c r="H489" s="106"/>
      <c r="I489" s="107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4.25" customHeight="1">
      <c r="A490" s="105"/>
      <c r="B490" s="105"/>
      <c r="C490" s="106"/>
      <c r="D490" s="105"/>
      <c r="E490" s="105"/>
      <c r="F490" s="105"/>
      <c r="G490" s="105"/>
      <c r="H490" s="106"/>
      <c r="I490" s="107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4.25" customHeight="1">
      <c r="A491" s="105"/>
      <c r="B491" s="105"/>
      <c r="C491" s="106"/>
      <c r="D491" s="105"/>
      <c r="E491" s="105"/>
      <c r="F491" s="105"/>
      <c r="G491" s="105"/>
      <c r="H491" s="106"/>
      <c r="I491" s="107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4.25" customHeight="1">
      <c r="A492" s="105"/>
      <c r="B492" s="105"/>
      <c r="C492" s="106"/>
      <c r="D492" s="105"/>
      <c r="E492" s="105"/>
      <c r="F492" s="105"/>
      <c r="G492" s="105"/>
      <c r="H492" s="106"/>
      <c r="I492" s="107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4.25" customHeight="1">
      <c r="A493" s="105"/>
      <c r="B493" s="105"/>
      <c r="C493" s="106"/>
      <c r="D493" s="105"/>
      <c r="E493" s="105"/>
      <c r="F493" s="105"/>
      <c r="G493" s="105"/>
      <c r="H493" s="106"/>
      <c r="I493" s="107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4.25" customHeight="1">
      <c r="A494" s="105"/>
      <c r="B494" s="105"/>
      <c r="C494" s="106"/>
      <c r="D494" s="105"/>
      <c r="E494" s="105"/>
      <c r="F494" s="105"/>
      <c r="G494" s="105"/>
      <c r="H494" s="106"/>
      <c r="I494" s="107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4.25" customHeight="1">
      <c r="A495" s="105"/>
      <c r="B495" s="105"/>
      <c r="C495" s="106"/>
      <c r="D495" s="105"/>
      <c r="E495" s="105"/>
      <c r="F495" s="105"/>
      <c r="G495" s="105"/>
      <c r="H495" s="106"/>
      <c r="I495" s="107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4.25" customHeight="1">
      <c r="A496" s="105"/>
      <c r="B496" s="105"/>
      <c r="C496" s="106"/>
      <c r="D496" s="105"/>
      <c r="E496" s="105"/>
      <c r="F496" s="105"/>
      <c r="G496" s="105"/>
      <c r="H496" s="106"/>
      <c r="I496" s="107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4.25" customHeight="1">
      <c r="A497" s="105"/>
      <c r="B497" s="105"/>
      <c r="C497" s="106"/>
      <c r="D497" s="105"/>
      <c r="E497" s="105"/>
      <c r="F497" s="105"/>
      <c r="G497" s="105"/>
      <c r="H497" s="106"/>
      <c r="I497" s="107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4.25" customHeight="1">
      <c r="A498" s="105"/>
      <c r="B498" s="105"/>
      <c r="C498" s="106"/>
      <c r="D498" s="105"/>
      <c r="E498" s="105"/>
      <c r="F498" s="105"/>
      <c r="G498" s="105"/>
      <c r="H498" s="106"/>
      <c r="I498" s="107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4.25" customHeight="1">
      <c r="A499" s="105"/>
      <c r="B499" s="105"/>
      <c r="C499" s="106"/>
      <c r="D499" s="105"/>
      <c r="E499" s="105"/>
      <c r="F499" s="105"/>
      <c r="G499" s="105"/>
      <c r="H499" s="106"/>
      <c r="I499" s="107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4.25" customHeight="1">
      <c r="A500" s="105"/>
      <c r="B500" s="105"/>
      <c r="C500" s="106"/>
      <c r="D500" s="105"/>
      <c r="E500" s="105"/>
      <c r="F500" s="105"/>
      <c r="G500" s="105"/>
      <c r="H500" s="106"/>
      <c r="I500" s="107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4.25" customHeight="1">
      <c r="A501" s="105"/>
      <c r="B501" s="105"/>
      <c r="C501" s="106"/>
      <c r="D501" s="105"/>
      <c r="E501" s="105"/>
      <c r="F501" s="105"/>
      <c r="G501" s="105"/>
      <c r="H501" s="106"/>
      <c r="I501" s="107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4.25" customHeight="1">
      <c r="A502" s="105"/>
      <c r="B502" s="105"/>
      <c r="C502" s="106"/>
      <c r="D502" s="105"/>
      <c r="E502" s="105"/>
      <c r="F502" s="105"/>
      <c r="G502" s="105"/>
      <c r="H502" s="106"/>
      <c r="I502" s="107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4.25" customHeight="1">
      <c r="A503" s="105"/>
      <c r="B503" s="105"/>
      <c r="C503" s="106"/>
      <c r="D503" s="105"/>
      <c r="E503" s="105"/>
      <c r="F503" s="105"/>
      <c r="G503" s="105"/>
      <c r="H503" s="106"/>
      <c r="I503" s="107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4.25" customHeight="1">
      <c r="A504" s="105"/>
      <c r="B504" s="105"/>
      <c r="C504" s="106"/>
      <c r="D504" s="105"/>
      <c r="E504" s="105"/>
      <c r="F504" s="105"/>
      <c r="G504" s="105"/>
      <c r="H504" s="106"/>
      <c r="I504" s="107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4.25" customHeight="1">
      <c r="A505" s="105"/>
      <c r="B505" s="105"/>
      <c r="C505" s="106"/>
      <c r="D505" s="105"/>
      <c r="E505" s="105"/>
      <c r="F505" s="105"/>
      <c r="G505" s="105"/>
      <c r="H505" s="106"/>
      <c r="I505" s="107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4.25" customHeight="1">
      <c r="A506" s="105"/>
      <c r="B506" s="105"/>
      <c r="C506" s="106"/>
      <c r="D506" s="105"/>
      <c r="E506" s="105"/>
      <c r="F506" s="105"/>
      <c r="G506" s="105"/>
      <c r="H506" s="106"/>
      <c r="I506" s="107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4.25" customHeight="1">
      <c r="A507" s="105"/>
      <c r="B507" s="105"/>
      <c r="C507" s="106"/>
      <c r="D507" s="105"/>
      <c r="E507" s="105"/>
      <c r="F507" s="105"/>
      <c r="G507" s="105"/>
      <c r="H507" s="106"/>
      <c r="I507" s="107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4.25" customHeight="1">
      <c r="A508" s="105"/>
      <c r="B508" s="105"/>
      <c r="C508" s="106"/>
      <c r="D508" s="105"/>
      <c r="E508" s="105"/>
      <c r="F508" s="105"/>
      <c r="G508" s="105"/>
      <c r="H508" s="106"/>
      <c r="I508" s="107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4.25" customHeight="1">
      <c r="A509" s="105"/>
      <c r="B509" s="105"/>
      <c r="C509" s="106"/>
      <c r="D509" s="105"/>
      <c r="E509" s="105"/>
      <c r="F509" s="105"/>
      <c r="G509" s="105"/>
      <c r="H509" s="106"/>
      <c r="I509" s="107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4.25" customHeight="1">
      <c r="A510" s="105"/>
      <c r="B510" s="105"/>
      <c r="C510" s="106"/>
      <c r="D510" s="105"/>
      <c r="E510" s="105"/>
      <c r="F510" s="105"/>
      <c r="G510" s="105"/>
      <c r="H510" s="106"/>
      <c r="I510" s="107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4.25" customHeight="1">
      <c r="A511" s="105"/>
      <c r="B511" s="105"/>
      <c r="C511" s="106"/>
      <c r="D511" s="105"/>
      <c r="E511" s="105"/>
      <c r="F511" s="105"/>
      <c r="G511" s="105"/>
      <c r="H511" s="106"/>
      <c r="I511" s="107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4.25" customHeight="1">
      <c r="A512" s="105"/>
      <c r="B512" s="105"/>
      <c r="C512" s="106"/>
      <c r="D512" s="105"/>
      <c r="E512" s="105"/>
      <c r="F512" s="105"/>
      <c r="G512" s="105"/>
      <c r="H512" s="106"/>
      <c r="I512" s="107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4.25" customHeight="1">
      <c r="A513" s="105"/>
      <c r="B513" s="105"/>
      <c r="C513" s="106"/>
      <c r="D513" s="105"/>
      <c r="E513" s="105"/>
      <c r="F513" s="105"/>
      <c r="G513" s="105"/>
      <c r="H513" s="106"/>
      <c r="I513" s="107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4.25" customHeight="1">
      <c r="A514" s="105"/>
      <c r="B514" s="105"/>
      <c r="C514" s="106"/>
      <c r="D514" s="105"/>
      <c r="E514" s="105"/>
      <c r="F514" s="105"/>
      <c r="G514" s="105"/>
      <c r="H514" s="106"/>
      <c r="I514" s="107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4.25" customHeight="1">
      <c r="A515" s="105"/>
      <c r="B515" s="105"/>
      <c r="C515" s="106"/>
      <c r="D515" s="105"/>
      <c r="E515" s="105"/>
      <c r="F515" s="105"/>
      <c r="G515" s="105"/>
      <c r="H515" s="106"/>
      <c r="I515" s="107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4.25" customHeight="1">
      <c r="A516" s="105"/>
      <c r="B516" s="105"/>
      <c r="C516" s="106"/>
      <c r="D516" s="105"/>
      <c r="E516" s="105"/>
      <c r="F516" s="105"/>
      <c r="G516" s="105"/>
      <c r="H516" s="106"/>
      <c r="I516" s="107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4.25" customHeight="1">
      <c r="A517" s="105"/>
      <c r="B517" s="105"/>
      <c r="C517" s="106"/>
      <c r="D517" s="105"/>
      <c r="E517" s="105"/>
      <c r="F517" s="105"/>
      <c r="G517" s="105"/>
      <c r="H517" s="106"/>
      <c r="I517" s="107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4.25" customHeight="1">
      <c r="A518" s="105"/>
      <c r="B518" s="105"/>
      <c r="C518" s="106"/>
      <c r="D518" s="105"/>
      <c r="E518" s="105"/>
      <c r="F518" s="105"/>
      <c r="G518" s="105"/>
      <c r="H518" s="106"/>
      <c r="I518" s="107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4.25" customHeight="1">
      <c r="A519" s="105"/>
      <c r="B519" s="105"/>
      <c r="C519" s="106"/>
      <c r="D519" s="105"/>
      <c r="E519" s="105"/>
      <c r="F519" s="105"/>
      <c r="G519" s="105"/>
      <c r="H519" s="106"/>
      <c r="I519" s="107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4.25" customHeight="1">
      <c r="A520" s="105"/>
      <c r="B520" s="105"/>
      <c r="C520" s="106"/>
      <c r="D520" s="105"/>
      <c r="E520" s="105"/>
      <c r="F520" s="105"/>
      <c r="G520" s="105"/>
      <c r="H520" s="106"/>
      <c r="I520" s="107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4.25" customHeight="1">
      <c r="A521" s="105"/>
      <c r="B521" s="105"/>
      <c r="C521" s="106"/>
      <c r="D521" s="105"/>
      <c r="E521" s="105"/>
      <c r="F521" s="105"/>
      <c r="G521" s="105"/>
      <c r="H521" s="106"/>
      <c r="I521" s="107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4.25" customHeight="1">
      <c r="A522" s="105"/>
      <c r="B522" s="105"/>
      <c r="C522" s="106"/>
      <c r="D522" s="105"/>
      <c r="E522" s="105"/>
      <c r="F522" s="105"/>
      <c r="G522" s="105"/>
      <c r="H522" s="106"/>
      <c r="I522" s="107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4.25" customHeight="1">
      <c r="A523" s="105"/>
      <c r="B523" s="105"/>
      <c r="C523" s="106"/>
      <c r="D523" s="105"/>
      <c r="E523" s="105"/>
      <c r="F523" s="105"/>
      <c r="G523" s="105"/>
      <c r="H523" s="106"/>
      <c r="I523" s="107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4.25" customHeight="1">
      <c r="A524" s="105"/>
      <c r="B524" s="105"/>
      <c r="C524" s="106"/>
      <c r="D524" s="105"/>
      <c r="E524" s="105"/>
      <c r="F524" s="105"/>
      <c r="G524" s="105"/>
      <c r="H524" s="106"/>
      <c r="I524" s="107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4.25" customHeight="1">
      <c r="A525" s="105"/>
      <c r="B525" s="105"/>
      <c r="C525" s="106"/>
      <c r="D525" s="105"/>
      <c r="E525" s="105"/>
      <c r="F525" s="105"/>
      <c r="G525" s="105"/>
      <c r="H525" s="106"/>
      <c r="I525" s="107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4.25" customHeight="1">
      <c r="A526" s="105"/>
      <c r="B526" s="105"/>
      <c r="C526" s="106"/>
      <c r="D526" s="105"/>
      <c r="E526" s="105"/>
      <c r="F526" s="105"/>
      <c r="G526" s="105"/>
      <c r="H526" s="106"/>
      <c r="I526" s="107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4.25" customHeight="1">
      <c r="A527" s="105"/>
      <c r="B527" s="105"/>
      <c r="C527" s="106"/>
      <c r="D527" s="105"/>
      <c r="E527" s="105"/>
      <c r="F527" s="105"/>
      <c r="G527" s="105"/>
      <c r="H527" s="106"/>
      <c r="I527" s="107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4.25" customHeight="1">
      <c r="A528" s="105"/>
      <c r="B528" s="105"/>
      <c r="C528" s="106"/>
      <c r="D528" s="105"/>
      <c r="E528" s="105"/>
      <c r="F528" s="105"/>
      <c r="G528" s="105"/>
      <c r="H528" s="106"/>
      <c r="I528" s="107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4.25" customHeight="1">
      <c r="A529" s="105"/>
      <c r="B529" s="105"/>
      <c r="C529" s="106"/>
      <c r="D529" s="105"/>
      <c r="E529" s="105"/>
      <c r="F529" s="105"/>
      <c r="G529" s="105"/>
      <c r="H529" s="106"/>
      <c r="I529" s="107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4.25" customHeight="1">
      <c r="A530" s="105"/>
      <c r="B530" s="105"/>
      <c r="C530" s="106"/>
      <c r="D530" s="105"/>
      <c r="E530" s="105"/>
      <c r="F530" s="105"/>
      <c r="G530" s="105"/>
      <c r="H530" s="106"/>
      <c r="I530" s="107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4.25" customHeight="1">
      <c r="A531" s="105"/>
      <c r="B531" s="105"/>
      <c r="C531" s="106"/>
      <c r="D531" s="105"/>
      <c r="E531" s="105"/>
      <c r="F531" s="105"/>
      <c r="G531" s="105"/>
      <c r="H531" s="106"/>
      <c r="I531" s="107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4.25" customHeight="1">
      <c r="A532" s="105"/>
      <c r="B532" s="105"/>
      <c r="C532" s="106"/>
      <c r="D532" s="105"/>
      <c r="E532" s="105"/>
      <c r="F532" s="105"/>
      <c r="G532" s="105"/>
      <c r="H532" s="106"/>
      <c r="I532" s="107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4.25" customHeight="1">
      <c r="A533" s="105"/>
      <c r="B533" s="105"/>
      <c r="C533" s="106"/>
      <c r="D533" s="105"/>
      <c r="E533" s="105"/>
      <c r="F533" s="105"/>
      <c r="G533" s="105"/>
      <c r="H533" s="106"/>
      <c r="I533" s="107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4.25" customHeight="1">
      <c r="A534" s="105"/>
      <c r="B534" s="105"/>
      <c r="C534" s="106"/>
      <c r="D534" s="105"/>
      <c r="E534" s="105"/>
      <c r="F534" s="105"/>
      <c r="G534" s="105"/>
      <c r="H534" s="106"/>
      <c r="I534" s="107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4.25" customHeight="1">
      <c r="A535" s="105"/>
      <c r="B535" s="105"/>
      <c r="C535" s="106"/>
      <c r="D535" s="105"/>
      <c r="E535" s="105"/>
      <c r="F535" s="105"/>
      <c r="G535" s="105"/>
      <c r="H535" s="106"/>
      <c r="I535" s="107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4.25" customHeight="1">
      <c r="A536" s="105"/>
      <c r="B536" s="105"/>
      <c r="C536" s="106"/>
      <c r="D536" s="105"/>
      <c r="E536" s="105"/>
      <c r="F536" s="105"/>
      <c r="G536" s="105"/>
      <c r="H536" s="106"/>
      <c r="I536" s="107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4.25" customHeight="1">
      <c r="A537" s="105"/>
      <c r="B537" s="105"/>
      <c r="C537" s="106"/>
      <c r="D537" s="105"/>
      <c r="E537" s="105"/>
      <c r="F537" s="105"/>
      <c r="G537" s="105"/>
      <c r="H537" s="106"/>
      <c r="I537" s="107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4.25" customHeight="1">
      <c r="A538" s="105"/>
      <c r="B538" s="105"/>
      <c r="C538" s="106"/>
      <c r="D538" s="105"/>
      <c r="E538" s="105"/>
      <c r="F538" s="105"/>
      <c r="G538" s="105"/>
      <c r="H538" s="106"/>
      <c r="I538" s="107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4.25" customHeight="1">
      <c r="A539" s="105"/>
      <c r="B539" s="105"/>
      <c r="C539" s="106"/>
      <c r="D539" s="105"/>
      <c r="E539" s="105"/>
      <c r="F539" s="105"/>
      <c r="G539" s="105"/>
      <c r="H539" s="106"/>
      <c r="I539" s="107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4.25" customHeight="1">
      <c r="A540" s="105"/>
      <c r="B540" s="105"/>
      <c r="C540" s="106"/>
      <c r="D540" s="105"/>
      <c r="E540" s="105"/>
      <c r="F540" s="105"/>
      <c r="G540" s="105"/>
      <c r="H540" s="106"/>
      <c r="I540" s="107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4.25" customHeight="1">
      <c r="A541" s="105"/>
      <c r="B541" s="105"/>
      <c r="C541" s="106"/>
      <c r="D541" s="105"/>
      <c r="E541" s="105"/>
      <c r="F541" s="105"/>
      <c r="G541" s="105"/>
      <c r="H541" s="106"/>
      <c r="I541" s="107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4.25" customHeight="1">
      <c r="A542" s="105"/>
      <c r="B542" s="105"/>
      <c r="C542" s="106"/>
      <c r="D542" s="105"/>
      <c r="E542" s="105"/>
      <c r="F542" s="105"/>
      <c r="G542" s="105"/>
      <c r="H542" s="106"/>
      <c r="I542" s="107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4.25" customHeight="1">
      <c r="A543" s="105"/>
      <c r="B543" s="105"/>
      <c r="C543" s="106"/>
      <c r="D543" s="105"/>
      <c r="E543" s="105"/>
      <c r="F543" s="105"/>
      <c r="G543" s="105"/>
      <c r="H543" s="106"/>
      <c r="I543" s="107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4.25" customHeight="1">
      <c r="A544" s="105"/>
      <c r="B544" s="105"/>
      <c r="C544" s="106"/>
      <c r="D544" s="105"/>
      <c r="E544" s="105"/>
      <c r="F544" s="105"/>
      <c r="G544" s="105"/>
      <c r="H544" s="106"/>
      <c r="I544" s="107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4.25" customHeight="1">
      <c r="A545" s="105"/>
      <c r="B545" s="105"/>
      <c r="C545" s="106"/>
      <c r="D545" s="105"/>
      <c r="E545" s="105"/>
      <c r="F545" s="105"/>
      <c r="G545" s="105"/>
      <c r="H545" s="106"/>
      <c r="I545" s="107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4.25" customHeight="1">
      <c r="A546" s="105"/>
      <c r="B546" s="105"/>
      <c r="C546" s="106"/>
      <c r="D546" s="105"/>
      <c r="E546" s="105"/>
      <c r="F546" s="105"/>
      <c r="G546" s="105"/>
      <c r="H546" s="106"/>
      <c r="I546" s="107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4.25" customHeight="1">
      <c r="A547" s="105"/>
      <c r="B547" s="105"/>
      <c r="C547" s="106"/>
      <c r="D547" s="105"/>
      <c r="E547" s="105"/>
      <c r="F547" s="105"/>
      <c r="G547" s="105"/>
      <c r="H547" s="106"/>
      <c r="I547" s="107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4.25" customHeight="1">
      <c r="A548" s="105"/>
      <c r="B548" s="105"/>
      <c r="C548" s="106"/>
      <c r="D548" s="105"/>
      <c r="E548" s="105"/>
      <c r="F548" s="105"/>
      <c r="G548" s="105"/>
      <c r="H548" s="106"/>
      <c r="I548" s="107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4.25" customHeight="1">
      <c r="A549" s="105"/>
      <c r="B549" s="105"/>
      <c r="C549" s="106"/>
      <c r="D549" s="105"/>
      <c r="E549" s="105"/>
      <c r="F549" s="105"/>
      <c r="G549" s="105"/>
      <c r="H549" s="106"/>
      <c r="I549" s="107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4.25" customHeight="1">
      <c r="A550" s="105"/>
      <c r="B550" s="105"/>
      <c r="C550" s="106"/>
      <c r="D550" s="105"/>
      <c r="E550" s="105"/>
      <c r="F550" s="105"/>
      <c r="G550" s="105"/>
      <c r="H550" s="106"/>
      <c r="I550" s="107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4.25" customHeight="1">
      <c r="A551" s="105"/>
      <c r="B551" s="105"/>
      <c r="C551" s="106"/>
      <c r="D551" s="105"/>
      <c r="E551" s="105"/>
      <c r="F551" s="105"/>
      <c r="G551" s="105"/>
      <c r="H551" s="106"/>
      <c r="I551" s="107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4.25" customHeight="1">
      <c r="A552" s="105"/>
      <c r="B552" s="105"/>
      <c r="C552" s="106"/>
      <c r="D552" s="105"/>
      <c r="E552" s="105"/>
      <c r="F552" s="105"/>
      <c r="G552" s="105"/>
      <c r="H552" s="106"/>
      <c r="I552" s="107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4.25" customHeight="1">
      <c r="A553" s="105"/>
      <c r="B553" s="105"/>
      <c r="C553" s="106"/>
      <c r="D553" s="105"/>
      <c r="E553" s="105"/>
      <c r="F553" s="105"/>
      <c r="G553" s="105"/>
      <c r="H553" s="106"/>
      <c r="I553" s="107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4.25" customHeight="1">
      <c r="A554" s="105"/>
      <c r="B554" s="105"/>
      <c r="C554" s="106"/>
      <c r="D554" s="105"/>
      <c r="E554" s="105"/>
      <c r="F554" s="105"/>
      <c r="G554" s="105"/>
      <c r="H554" s="106"/>
      <c r="I554" s="107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4.25" customHeight="1">
      <c r="A555" s="105"/>
      <c r="B555" s="105"/>
      <c r="C555" s="106"/>
      <c r="D555" s="105"/>
      <c r="E555" s="105"/>
      <c r="F555" s="105"/>
      <c r="G555" s="105"/>
      <c r="H555" s="106"/>
      <c r="I555" s="107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4.25" customHeight="1">
      <c r="A556" s="105"/>
      <c r="B556" s="105"/>
      <c r="C556" s="106"/>
      <c r="D556" s="105"/>
      <c r="E556" s="105"/>
      <c r="F556" s="105"/>
      <c r="G556" s="105"/>
      <c r="H556" s="106"/>
      <c r="I556" s="107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4.25" customHeight="1">
      <c r="A557" s="105"/>
      <c r="B557" s="105"/>
      <c r="C557" s="106"/>
      <c r="D557" s="105"/>
      <c r="E557" s="105"/>
      <c r="F557" s="105"/>
      <c r="G557" s="105"/>
      <c r="H557" s="106"/>
      <c r="I557" s="107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4.25" customHeight="1">
      <c r="A558" s="105"/>
      <c r="B558" s="105"/>
      <c r="C558" s="106"/>
      <c r="D558" s="105"/>
      <c r="E558" s="105"/>
      <c r="F558" s="105"/>
      <c r="G558" s="105"/>
      <c r="H558" s="106"/>
      <c r="I558" s="107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4.25" customHeight="1">
      <c r="A559" s="105"/>
      <c r="B559" s="105"/>
      <c r="C559" s="106"/>
      <c r="D559" s="105"/>
      <c r="E559" s="105"/>
      <c r="F559" s="105"/>
      <c r="G559" s="105"/>
      <c r="H559" s="106"/>
      <c r="I559" s="107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4.25" customHeight="1">
      <c r="A560" s="105"/>
      <c r="B560" s="105"/>
      <c r="C560" s="106"/>
      <c r="D560" s="105"/>
      <c r="E560" s="105"/>
      <c r="F560" s="105"/>
      <c r="G560" s="105"/>
      <c r="H560" s="106"/>
      <c r="I560" s="107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4.25" customHeight="1">
      <c r="A561" s="105"/>
      <c r="B561" s="105"/>
      <c r="C561" s="106"/>
      <c r="D561" s="105"/>
      <c r="E561" s="105"/>
      <c r="F561" s="105"/>
      <c r="G561" s="105"/>
      <c r="H561" s="106"/>
      <c r="I561" s="107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4.25" customHeight="1">
      <c r="A562" s="105"/>
      <c r="B562" s="105"/>
      <c r="C562" s="106"/>
      <c r="D562" s="105"/>
      <c r="E562" s="105"/>
      <c r="F562" s="105"/>
      <c r="G562" s="105"/>
      <c r="H562" s="106"/>
      <c r="I562" s="107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4.25" customHeight="1">
      <c r="A563" s="105"/>
      <c r="B563" s="105"/>
      <c r="C563" s="106"/>
      <c r="D563" s="105"/>
      <c r="E563" s="105"/>
      <c r="F563" s="105"/>
      <c r="G563" s="105"/>
      <c r="H563" s="106"/>
      <c r="I563" s="107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4.25" customHeight="1">
      <c r="A564" s="105"/>
      <c r="B564" s="105"/>
      <c r="C564" s="106"/>
      <c r="D564" s="105"/>
      <c r="E564" s="105"/>
      <c r="F564" s="105"/>
      <c r="G564" s="105"/>
      <c r="H564" s="106"/>
      <c r="I564" s="107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4.25" customHeight="1">
      <c r="A565" s="105"/>
      <c r="B565" s="105"/>
      <c r="C565" s="106"/>
      <c r="D565" s="105"/>
      <c r="E565" s="105"/>
      <c r="F565" s="105"/>
      <c r="G565" s="105"/>
      <c r="H565" s="106"/>
      <c r="I565" s="107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4.25" customHeight="1">
      <c r="A566" s="105"/>
      <c r="B566" s="105"/>
      <c r="C566" s="106"/>
      <c r="D566" s="105"/>
      <c r="E566" s="105"/>
      <c r="F566" s="105"/>
      <c r="G566" s="105"/>
      <c r="H566" s="106"/>
      <c r="I566" s="107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4.25" customHeight="1">
      <c r="A567" s="105"/>
      <c r="B567" s="105"/>
      <c r="C567" s="106"/>
      <c r="D567" s="105"/>
      <c r="E567" s="105"/>
      <c r="F567" s="105"/>
      <c r="G567" s="105"/>
      <c r="H567" s="106"/>
      <c r="I567" s="107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4.25" customHeight="1">
      <c r="A568" s="105"/>
      <c r="B568" s="105"/>
      <c r="C568" s="106"/>
      <c r="D568" s="105"/>
      <c r="E568" s="105"/>
      <c r="F568" s="105"/>
      <c r="G568" s="105"/>
      <c r="H568" s="106"/>
      <c r="I568" s="107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4.25" customHeight="1">
      <c r="A569" s="105"/>
      <c r="B569" s="105"/>
      <c r="C569" s="106"/>
      <c r="D569" s="105"/>
      <c r="E569" s="105"/>
      <c r="F569" s="105"/>
      <c r="G569" s="105"/>
      <c r="H569" s="106"/>
      <c r="I569" s="107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4.25" customHeight="1">
      <c r="A570" s="105"/>
      <c r="B570" s="105"/>
      <c r="C570" s="106"/>
      <c r="D570" s="105"/>
      <c r="E570" s="105"/>
      <c r="F570" s="105"/>
      <c r="G570" s="105"/>
      <c r="H570" s="106"/>
      <c r="I570" s="107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4.25" customHeight="1">
      <c r="A571" s="105"/>
      <c r="B571" s="105"/>
      <c r="C571" s="106"/>
      <c r="D571" s="105"/>
      <c r="E571" s="105"/>
      <c r="F571" s="105"/>
      <c r="G571" s="105"/>
      <c r="H571" s="106"/>
      <c r="I571" s="107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4.25" customHeight="1">
      <c r="A572" s="105"/>
      <c r="B572" s="105"/>
      <c r="C572" s="106"/>
      <c r="D572" s="105"/>
      <c r="E572" s="105"/>
      <c r="F572" s="105"/>
      <c r="G572" s="105"/>
      <c r="H572" s="106"/>
      <c r="I572" s="107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4.25" customHeight="1">
      <c r="A573" s="105"/>
      <c r="B573" s="105"/>
      <c r="C573" s="106"/>
      <c r="D573" s="105"/>
      <c r="E573" s="105"/>
      <c r="F573" s="105"/>
      <c r="G573" s="105"/>
      <c r="H573" s="106"/>
      <c r="I573" s="107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4.25" customHeight="1">
      <c r="A574" s="105"/>
      <c r="B574" s="105"/>
      <c r="C574" s="106"/>
      <c r="D574" s="105"/>
      <c r="E574" s="105"/>
      <c r="F574" s="105"/>
      <c r="G574" s="105"/>
      <c r="H574" s="106"/>
      <c r="I574" s="107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4.25" customHeight="1">
      <c r="A575" s="105"/>
      <c r="B575" s="105"/>
      <c r="C575" s="106"/>
      <c r="D575" s="105"/>
      <c r="E575" s="105"/>
      <c r="F575" s="105"/>
      <c r="G575" s="105"/>
      <c r="H575" s="106"/>
      <c r="I575" s="107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4.25" customHeight="1">
      <c r="A576" s="105"/>
      <c r="B576" s="105"/>
      <c r="C576" s="106"/>
      <c r="D576" s="105"/>
      <c r="E576" s="105"/>
      <c r="F576" s="105"/>
      <c r="G576" s="105"/>
      <c r="H576" s="106"/>
      <c r="I576" s="107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4.25" customHeight="1">
      <c r="A577" s="105"/>
      <c r="B577" s="105"/>
      <c r="C577" s="106"/>
      <c r="D577" s="105"/>
      <c r="E577" s="105"/>
      <c r="F577" s="105"/>
      <c r="G577" s="105"/>
      <c r="H577" s="106"/>
      <c r="I577" s="107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4.25" customHeight="1">
      <c r="A578" s="105"/>
      <c r="B578" s="105"/>
      <c r="C578" s="106"/>
      <c r="D578" s="105"/>
      <c r="E578" s="105"/>
      <c r="F578" s="105"/>
      <c r="G578" s="105"/>
      <c r="H578" s="106"/>
      <c r="I578" s="107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4.25" customHeight="1">
      <c r="A579" s="105"/>
      <c r="B579" s="105"/>
      <c r="C579" s="106"/>
      <c r="D579" s="105"/>
      <c r="E579" s="105"/>
      <c r="F579" s="105"/>
      <c r="G579" s="105"/>
      <c r="H579" s="106"/>
      <c r="I579" s="107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4.25" customHeight="1">
      <c r="A580" s="105"/>
      <c r="B580" s="105"/>
      <c r="C580" s="106"/>
      <c r="D580" s="105"/>
      <c r="E580" s="105"/>
      <c r="F580" s="105"/>
      <c r="G580" s="105"/>
      <c r="H580" s="106"/>
      <c r="I580" s="107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4.25" customHeight="1">
      <c r="A581" s="105"/>
      <c r="B581" s="105"/>
      <c r="C581" s="106"/>
      <c r="D581" s="105"/>
      <c r="E581" s="105"/>
      <c r="F581" s="105"/>
      <c r="G581" s="105"/>
      <c r="H581" s="106"/>
      <c r="I581" s="107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4.25" customHeight="1">
      <c r="A582" s="105"/>
      <c r="B582" s="105"/>
      <c r="C582" s="106"/>
      <c r="D582" s="105"/>
      <c r="E582" s="105"/>
      <c r="F582" s="105"/>
      <c r="G582" s="105"/>
      <c r="H582" s="106"/>
      <c r="I582" s="107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4.25" customHeight="1">
      <c r="A583" s="105"/>
      <c r="B583" s="105"/>
      <c r="C583" s="106"/>
      <c r="D583" s="105"/>
      <c r="E583" s="105"/>
      <c r="F583" s="105"/>
      <c r="G583" s="105"/>
      <c r="H583" s="106"/>
      <c r="I583" s="107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4.25" customHeight="1">
      <c r="A584" s="105"/>
      <c r="B584" s="105"/>
      <c r="C584" s="106"/>
      <c r="D584" s="105"/>
      <c r="E584" s="105"/>
      <c r="F584" s="105"/>
      <c r="G584" s="105"/>
      <c r="H584" s="106"/>
      <c r="I584" s="107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4.25" customHeight="1">
      <c r="A585" s="105"/>
      <c r="B585" s="105"/>
      <c r="C585" s="106"/>
      <c r="D585" s="105"/>
      <c r="E585" s="105"/>
      <c r="F585" s="105"/>
      <c r="G585" s="105"/>
      <c r="H585" s="106"/>
      <c r="I585" s="107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4.25" customHeight="1">
      <c r="A586" s="105"/>
      <c r="B586" s="105"/>
      <c r="C586" s="106"/>
      <c r="D586" s="105"/>
      <c r="E586" s="105"/>
      <c r="F586" s="105"/>
      <c r="G586" s="105"/>
      <c r="H586" s="106"/>
      <c r="I586" s="107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4.25" customHeight="1">
      <c r="A587" s="105"/>
      <c r="B587" s="105"/>
      <c r="C587" s="106"/>
      <c r="D587" s="105"/>
      <c r="E587" s="105"/>
      <c r="F587" s="105"/>
      <c r="G587" s="105"/>
      <c r="H587" s="106"/>
      <c r="I587" s="107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4.25" customHeight="1">
      <c r="A588" s="105"/>
      <c r="B588" s="105"/>
      <c r="C588" s="106"/>
      <c r="D588" s="105"/>
      <c r="E588" s="105"/>
      <c r="F588" s="105"/>
      <c r="G588" s="105"/>
      <c r="H588" s="106"/>
      <c r="I588" s="107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4.25" customHeight="1">
      <c r="A589" s="105"/>
      <c r="B589" s="105"/>
      <c r="C589" s="106"/>
      <c r="D589" s="105"/>
      <c r="E589" s="105"/>
      <c r="F589" s="105"/>
      <c r="G589" s="105"/>
      <c r="H589" s="106"/>
      <c r="I589" s="107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4.25" customHeight="1">
      <c r="A590" s="105"/>
      <c r="B590" s="105"/>
      <c r="C590" s="106"/>
      <c r="D590" s="105"/>
      <c r="E590" s="105"/>
      <c r="F590" s="105"/>
      <c r="G590" s="105"/>
      <c r="H590" s="106"/>
      <c r="I590" s="107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4.25" customHeight="1">
      <c r="A591" s="105"/>
      <c r="B591" s="105"/>
      <c r="C591" s="106"/>
      <c r="D591" s="105"/>
      <c r="E591" s="105"/>
      <c r="F591" s="105"/>
      <c r="G591" s="105"/>
      <c r="H591" s="106"/>
      <c r="I591" s="107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4.25" customHeight="1">
      <c r="A592" s="105"/>
      <c r="B592" s="105"/>
      <c r="C592" s="106"/>
      <c r="D592" s="105"/>
      <c r="E592" s="105"/>
      <c r="F592" s="105"/>
      <c r="G592" s="105"/>
      <c r="H592" s="106"/>
      <c r="I592" s="107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4.25" customHeight="1">
      <c r="A593" s="105"/>
      <c r="B593" s="105"/>
      <c r="C593" s="106"/>
      <c r="D593" s="105"/>
      <c r="E593" s="105"/>
      <c r="F593" s="105"/>
      <c r="G593" s="105"/>
      <c r="H593" s="106"/>
      <c r="I593" s="107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4.25" customHeight="1">
      <c r="A594" s="105"/>
      <c r="B594" s="105"/>
      <c r="C594" s="106"/>
      <c r="D594" s="105"/>
      <c r="E594" s="105"/>
      <c r="F594" s="105"/>
      <c r="G594" s="105"/>
      <c r="H594" s="106"/>
      <c r="I594" s="107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4.25" customHeight="1">
      <c r="A595" s="105"/>
      <c r="B595" s="105"/>
      <c r="C595" s="106"/>
      <c r="D595" s="105"/>
      <c r="E595" s="105"/>
      <c r="F595" s="105"/>
      <c r="G595" s="105"/>
      <c r="H595" s="106"/>
      <c r="I595" s="107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4.25" customHeight="1">
      <c r="A596" s="105"/>
      <c r="B596" s="105"/>
      <c r="C596" s="106"/>
      <c r="D596" s="105"/>
      <c r="E596" s="105"/>
      <c r="F596" s="105"/>
      <c r="G596" s="105"/>
      <c r="H596" s="106"/>
      <c r="I596" s="107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4.25" customHeight="1">
      <c r="A597" s="105"/>
      <c r="B597" s="105"/>
      <c r="C597" s="106"/>
      <c r="D597" s="105"/>
      <c r="E597" s="105"/>
      <c r="F597" s="105"/>
      <c r="G597" s="105"/>
      <c r="H597" s="106"/>
      <c r="I597" s="107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4.25" customHeight="1">
      <c r="A598" s="105"/>
      <c r="B598" s="105"/>
      <c r="C598" s="106"/>
      <c r="D598" s="105"/>
      <c r="E598" s="105"/>
      <c r="F598" s="105"/>
      <c r="G598" s="105"/>
      <c r="H598" s="106"/>
      <c r="I598" s="107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4.25" customHeight="1">
      <c r="A599" s="105"/>
      <c r="B599" s="105"/>
      <c r="C599" s="106"/>
      <c r="D599" s="105"/>
      <c r="E599" s="105"/>
      <c r="F599" s="105"/>
      <c r="G599" s="105"/>
      <c r="H599" s="106"/>
      <c r="I599" s="107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4.25" customHeight="1">
      <c r="A600" s="105"/>
      <c r="B600" s="105"/>
      <c r="C600" s="106"/>
      <c r="D600" s="105"/>
      <c r="E600" s="105"/>
      <c r="F600" s="105"/>
      <c r="G600" s="105"/>
      <c r="H600" s="106"/>
      <c r="I600" s="107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4.25" customHeight="1">
      <c r="A601" s="105"/>
      <c r="B601" s="105"/>
      <c r="C601" s="106"/>
      <c r="D601" s="105"/>
      <c r="E601" s="105"/>
      <c r="F601" s="105"/>
      <c r="G601" s="105"/>
      <c r="H601" s="106"/>
      <c r="I601" s="107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4.25" customHeight="1">
      <c r="A602" s="105"/>
      <c r="B602" s="105"/>
      <c r="C602" s="106"/>
      <c r="D602" s="105"/>
      <c r="E602" s="105"/>
      <c r="F602" s="105"/>
      <c r="G602" s="105"/>
      <c r="H602" s="106"/>
      <c r="I602" s="107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4.25" customHeight="1">
      <c r="A603" s="105"/>
      <c r="B603" s="105"/>
      <c r="C603" s="106"/>
      <c r="D603" s="105"/>
      <c r="E603" s="105"/>
      <c r="F603" s="105"/>
      <c r="G603" s="105"/>
      <c r="H603" s="106"/>
      <c r="I603" s="107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4.25" customHeight="1">
      <c r="A604" s="105"/>
      <c r="B604" s="105"/>
      <c r="C604" s="106"/>
      <c r="D604" s="105"/>
      <c r="E604" s="105"/>
      <c r="F604" s="105"/>
      <c r="G604" s="105"/>
      <c r="H604" s="106"/>
      <c r="I604" s="107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4.25" customHeight="1">
      <c r="A605" s="105"/>
      <c r="B605" s="105"/>
      <c r="C605" s="106"/>
      <c r="D605" s="105"/>
      <c r="E605" s="105"/>
      <c r="F605" s="105"/>
      <c r="G605" s="105"/>
      <c r="H605" s="106"/>
      <c r="I605" s="107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4.25" customHeight="1">
      <c r="A606" s="105"/>
      <c r="B606" s="105"/>
      <c r="C606" s="106"/>
      <c r="D606" s="105"/>
      <c r="E606" s="105"/>
      <c r="F606" s="105"/>
      <c r="G606" s="105"/>
      <c r="H606" s="106"/>
      <c r="I606" s="107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4.25" customHeight="1">
      <c r="A607" s="105"/>
      <c r="B607" s="105"/>
      <c r="C607" s="106"/>
      <c r="D607" s="105"/>
      <c r="E607" s="105"/>
      <c r="F607" s="105"/>
      <c r="G607" s="105"/>
      <c r="H607" s="106"/>
      <c r="I607" s="107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4.25" customHeight="1">
      <c r="A608" s="105"/>
      <c r="B608" s="105"/>
      <c r="C608" s="106"/>
      <c r="D608" s="105"/>
      <c r="E608" s="105"/>
      <c r="F608" s="105"/>
      <c r="G608" s="105"/>
      <c r="H608" s="106"/>
      <c r="I608" s="107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4.25" customHeight="1">
      <c r="A609" s="105"/>
      <c r="B609" s="105"/>
      <c r="C609" s="106"/>
      <c r="D609" s="105"/>
      <c r="E609" s="105"/>
      <c r="F609" s="105"/>
      <c r="G609" s="105"/>
      <c r="H609" s="106"/>
      <c r="I609" s="107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4.25" customHeight="1">
      <c r="A610" s="105"/>
      <c r="B610" s="105"/>
      <c r="C610" s="106"/>
      <c r="D610" s="105"/>
      <c r="E610" s="105"/>
      <c r="F610" s="105"/>
      <c r="G610" s="105"/>
      <c r="H610" s="106"/>
      <c r="I610" s="107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4.25" customHeight="1">
      <c r="A611" s="105"/>
      <c r="B611" s="105"/>
      <c r="C611" s="106"/>
      <c r="D611" s="105"/>
      <c r="E611" s="105"/>
      <c r="F611" s="105"/>
      <c r="G611" s="105"/>
      <c r="H611" s="106"/>
      <c r="I611" s="107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4.25" customHeight="1">
      <c r="A612" s="105"/>
      <c r="B612" s="105"/>
      <c r="C612" s="106"/>
      <c r="D612" s="105"/>
      <c r="E612" s="105"/>
      <c r="F612" s="105"/>
      <c r="G612" s="105"/>
      <c r="H612" s="106"/>
      <c r="I612" s="107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4.25" customHeight="1">
      <c r="A613" s="105"/>
      <c r="B613" s="105"/>
      <c r="C613" s="106"/>
      <c r="D613" s="105"/>
      <c r="E613" s="105"/>
      <c r="F613" s="105"/>
      <c r="G613" s="105"/>
      <c r="H613" s="106"/>
      <c r="I613" s="107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4.25" customHeight="1">
      <c r="A614" s="105"/>
      <c r="B614" s="105"/>
      <c r="C614" s="106"/>
      <c r="D614" s="105"/>
      <c r="E614" s="105"/>
      <c r="F614" s="105"/>
      <c r="G614" s="105"/>
      <c r="H614" s="106"/>
      <c r="I614" s="107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4.25" customHeight="1">
      <c r="A615" s="105"/>
      <c r="B615" s="105"/>
      <c r="C615" s="106"/>
      <c r="D615" s="105"/>
      <c r="E615" s="105"/>
      <c r="F615" s="105"/>
      <c r="G615" s="105"/>
      <c r="H615" s="106"/>
      <c r="I615" s="107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4.25" customHeight="1">
      <c r="A616" s="105"/>
      <c r="B616" s="105"/>
      <c r="C616" s="106"/>
      <c r="D616" s="105"/>
      <c r="E616" s="105"/>
      <c r="F616" s="105"/>
      <c r="G616" s="105"/>
      <c r="H616" s="106"/>
      <c r="I616" s="107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4.25" customHeight="1">
      <c r="A617" s="105"/>
      <c r="B617" s="105"/>
      <c r="C617" s="106"/>
      <c r="D617" s="105"/>
      <c r="E617" s="105"/>
      <c r="F617" s="105"/>
      <c r="G617" s="105"/>
      <c r="H617" s="106"/>
      <c r="I617" s="107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4.25" customHeight="1">
      <c r="A618" s="105"/>
      <c r="B618" s="105"/>
      <c r="C618" s="106"/>
      <c r="D618" s="105"/>
      <c r="E618" s="105"/>
      <c r="F618" s="105"/>
      <c r="G618" s="105"/>
      <c r="H618" s="106"/>
      <c r="I618" s="107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4.25" customHeight="1">
      <c r="A619" s="105"/>
      <c r="B619" s="105"/>
      <c r="C619" s="106"/>
      <c r="D619" s="105"/>
      <c r="E619" s="105"/>
      <c r="F619" s="105"/>
      <c r="G619" s="105"/>
      <c r="H619" s="106"/>
      <c r="I619" s="107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4.25" customHeight="1">
      <c r="A620" s="105"/>
      <c r="B620" s="105"/>
      <c r="C620" s="106"/>
      <c r="D620" s="105"/>
      <c r="E620" s="105"/>
      <c r="F620" s="105"/>
      <c r="G620" s="105"/>
      <c r="H620" s="106"/>
      <c r="I620" s="107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4.25" customHeight="1">
      <c r="A621" s="105"/>
      <c r="B621" s="105"/>
      <c r="C621" s="106"/>
      <c r="D621" s="105"/>
      <c r="E621" s="105"/>
      <c r="F621" s="105"/>
      <c r="G621" s="105"/>
      <c r="H621" s="106"/>
      <c r="I621" s="107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4.25" customHeight="1">
      <c r="A622" s="105"/>
      <c r="B622" s="105"/>
      <c r="C622" s="106"/>
      <c r="D622" s="105"/>
      <c r="E622" s="105"/>
      <c r="F622" s="105"/>
      <c r="G622" s="105"/>
      <c r="H622" s="106"/>
      <c r="I622" s="107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4.25" customHeight="1">
      <c r="A623" s="105"/>
      <c r="B623" s="105"/>
      <c r="C623" s="106"/>
      <c r="D623" s="105"/>
      <c r="E623" s="105"/>
      <c r="F623" s="105"/>
      <c r="G623" s="105"/>
      <c r="H623" s="106"/>
      <c r="I623" s="107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4.25" customHeight="1">
      <c r="A624" s="105"/>
      <c r="B624" s="105"/>
      <c r="C624" s="106"/>
      <c r="D624" s="105"/>
      <c r="E624" s="105"/>
      <c r="F624" s="105"/>
      <c r="G624" s="105"/>
      <c r="H624" s="106"/>
      <c r="I624" s="107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4.25" customHeight="1">
      <c r="A625" s="105"/>
      <c r="B625" s="105"/>
      <c r="C625" s="106"/>
      <c r="D625" s="105"/>
      <c r="E625" s="105"/>
      <c r="F625" s="105"/>
      <c r="G625" s="105"/>
      <c r="H625" s="106"/>
      <c r="I625" s="107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4.25" customHeight="1">
      <c r="A626" s="105"/>
      <c r="B626" s="105"/>
      <c r="C626" s="106"/>
      <c r="D626" s="105"/>
      <c r="E626" s="105"/>
      <c r="F626" s="105"/>
      <c r="G626" s="105"/>
      <c r="H626" s="106"/>
      <c r="I626" s="107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4.25" customHeight="1">
      <c r="A627" s="105"/>
      <c r="B627" s="105"/>
      <c r="C627" s="106"/>
      <c r="D627" s="105"/>
      <c r="E627" s="105"/>
      <c r="F627" s="105"/>
      <c r="G627" s="105"/>
      <c r="H627" s="106"/>
      <c r="I627" s="107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4.25" customHeight="1">
      <c r="A628" s="105"/>
      <c r="B628" s="105"/>
      <c r="C628" s="106"/>
      <c r="D628" s="105"/>
      <c r="E628" s="105"/>
      <c r="F628" s="105"/>
      <c r="G628" s="105"/>
      <c r="H628" s="106"/>
      <c r="I628" s="107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4.25" customHeight="1">
      <c r="A629" s="105"/>
      <c r="B629" s="105"/>
      <c r="C629" s="106"/>
      <c r="D629" s="105"/>
      <c r="E629" s="105"/>
      <c r="F629" s="105"/>
      <c r="G629" s="105"/>
      <c r="H629" s="106"/>
      <c r="I629" s="107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4.25" customHeight="1">
      <c r="A630" s="105"/>
      <c r="B630" s="105"/>
      <c r="C630" s="106"/>
      <c r="D630" s="105"/>
      <c r="E630" s="105"/>
      <c r="F630" s="105"/>
      <c r="G630" s="105"/>
      <c r="H630" s="106"/>
      <c r="I630" s="107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4.25" customHeight="1">
      <c r="A631" s="105"/>
      <c r="B631" s="105"/>
      <c r="C631" s="106"/>
      <c r="D631" s="105"/>
      <c r="E631" s="105"/>
      <c r="F631" s="105"/>
      <c r="G631" s="105"/>
      <c r="H631" s="106"/>
      <c r="I631" s="107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4.25" customHeight="1">
      <c r="A632" s="105"/>
      <c r="B632" s="105"/>
      <c r="C632" s="106"/>
      <c r="D632" s="105"/>
      <c r="E632" s="105"/>
      <c r="F632" s="105"/>
      <c r="G632" s="105"/>
      <c r="H632" s="106"/>
      <c r="I632" s="107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4.25" customHeight="1">
      <c r="A633" s="105"/>
      <c r="B633" s="105"/>
      <c r="C633" s="106"/>
      <c r="D633" s="105"/>
      <c r="E633" s="105"/>
      <c r="F633" s="105"/>
      <c r="G633" s="105"/>
      <c r="H633" s="106"/>
      <c r="I633" s="107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4.25" customHeight="1">
      <c r="A634" s="105"/>
      <c r="B634" s="105"/>
      <c r="C634" s="106"/>
      <c r="D634" s="105"/>
      <c r="E634" s="105"/>
      <c r="F634" s="105"/>
      <c r="G634" s="105"/>
      <c r="H634" s="106"/>
      <c r="I634" s="107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4.25" customHeight="1">
      <c r="A635" s="105"/>
      <c r="B635" s="105"/>
      <c r="C635" s="106"/>
      <c r="D635" s="105"/>
      <c r="E635" s="105"/>
      <c r="F635" s="105"/>
      <c r="G635" s="105"/>
      <c r="H635" s="106"/>
      <c r="I635" s="107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4.25" customHeight="1">
      <c r="A636" s="105"/>
      <c r="B636" s="105"/>
      <c r="C636" s="106"/>
      <c r="D636" s="105"/>
      <c r="E636" s="105"/>
      <c r="F636" s="105"/>
      <c r="G636" s="105"/>
      <c r="H636" s="106"/>
      <c r="I636" s="107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4.25" customHeight="1">
      <c r="A637" s="105"/>
      <c r="B637" s="105"/>
      <c r="C637" s="106"/>
      <c r="D637" s="105"/>
      <c r="E637" s="105"/>
      <c r="F637" s="105"/>
      <c r="G637" s="105"/>
      <c r="H637" s="106"/>
      <c r="I637" s="107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4.25" customHeight="1">
      <c r="A638" s="105"/>
      <c r="B638" s="105"/>
      <c r="C638" s="106"/>
      <c r="D638" s="105"/>
      <c r="E638" s="105"/>
      <c r="F638" s="105"/>
      <c r="G638" s="105"/>
      <c r="H638" s="106"/>
      <c r="I638" s="107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4.25" customHeight="1">
      <c r="A639" s="105"/>
      <c r="B639" s="105"/>
      <c r="C639" s="106"/>
      <c r="D639" s="105"/>
      <c r="E639" s="105"/>
      <c r="F639" s="105"/>
      <c r="G639" s="105"/>
      <c r="H639" s="106"/>
      <c r="I639" s="107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4.25" customHeight="1">
      <c r="A640" s="105"/>
      <c r="B640" s="105"/>
      <c r="C640" s="106"/>
      <c r="D640" s="105"/>
      <c r="E640" s="105"/>
      <c r="F640" s="105"/>
      <c r="G640" s="105"/>
      <c r="H640" s="106"/>
      <c r="I640" s="107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4.25" customHeight="1">
      <c r="A641" s="105"/>
      <c r="B641" s="105"/>
      <c r="C641" s="106"/>
      <c r="D641" s="105"/>
      <c r="E641" s="105"/>
      <c r="F641" s="105"/>
      <c r="G641" s="105"/>
      <c r="H641" s="106"/>
      <c r="I641" s="107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4.25" customHeight="1">
      <c r="A642" s="105"/>
      <c r="B642" s="105"/>
      <c r="C642" s="106"/>
      <c r="D642" s="105"/>
      <c r="E642" s="105"/>
      <c r="F642" s="105"/>
      <c r="G642" s="105"/>
      <c r="H642" s="106"/>
      <c r="I642" s="107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4.25" customHeight="1">
      <c r="A643" s="105"/>
      <c r="B643" s="105"/>
      <c r="C643" s="106"/>
      <c r="D643" s="105"/>
      <c r="E643" s="105"/>
      <c r="F643" s="105"/>
      <c r="G643" s="105"/>
      <c r="H643" s="106"/>
      <c r="I643" s="107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4.25" customHeight="1">
      <c r="A644" s="105"/>
      <c r="B644" s="105"/>
      <c r="C644" s="106"/>
      <c r="D644" s="105"/>
      <c r="E644" s="105"/>
      <c r="F644" s="105"/>
      <c r="G644" s="105"/>
      <c r="H644" s="106"/>
      <c r="I644" s="107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4.25" customHeight="1">
      <c r="A645" s="105"/>
      <c r="B645" s="105"/>
      <c r="C645" s="106"/>
      <c r="D645" s="105"/>
      <c r="E645" s="105"/>
      <c r="F645" s="105"/>
      <c r="G645" s="105"/>
      <c r="H645" s="106"/>
      <c r="I645" s="107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4.25" customHeight="1">
      <c r="A646" s="105"/>
      <c r="B646" s="105"/>
      <c r="C646" s="106"/>
      <c r="D646" s="105"/>
      <c r="E646" s="105"/>
      <c r="F646" s="105"/>
      <c r="G646" s="105"/>
      <c r="H646" s="106"/>
      <c r="I646" s="107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4.25" customHeight="1">
      <c r="A647" s="105"/>
      <c r="B647" s="105"/>
      <c r="C647" s="106"/>
      <c r="D647" s="105"/>
      <c r="E647" s="105"/>
      <c r="F647" s="105"/>
      <c r="G647" s="105"/>
      <c r="H647" s="106"/>
      <c r="I647" s="107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4.25" customHeight="1">
      <c r="A648" s="105"/>
      <c r="B648" s="105"/>
      <c r="C648" s="106"/>
      <c r="D648" s="105"/>
      <c r="E648" s="105"/>
      <c r="F648" s="105"/>
      <c r="G648" s="105"/>
      <c r="H648" s="106"/>
      <c r="I648" s="107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4.25" customHeight="1">
      <c r="A649" s="105"/>
      <c r="B649" s="105"/>
      <c r="C649" s="106"/>
      <c r="D649" s="105"/>
      <c r="E649" s="105"/>
      <c r="F649" s="105"/>
      <c r="G649" s="105"/>
      <c r="H649" s="106"/>
      <c r="I649" s="107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4.25" customHeight="1">
      <c r="A650" s="105"/>
      <c r="B650" s="105"/>
      <c r="C650" s="106"/>
      <c r="D650" s="105"/>
      <c r="E650" s="105"/>
      <c r="F650" s="105"/>
      <c r="G650" s="105"/>
      <c r="H650" s="106"/>
      <c r="I650" s="107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4.25" customHeight="1">
      <c r="A651" s="105"/>
      <c r="B651" s="105"/>
      <c r="C651" s="106"/>
      <c r="D651" s="105"/>
      <c r="E651" s="105"/>
      <c r="F651" s="105"/>
      <c r="G651" s="105"/>
      <c r="H651" s="106"/>
      <c r="I651" s="107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4.25" customHeight="1">
      <c r="A652" s="105"/>
      <c r="B652" s="105"/>
      <c r="C652" s="106"/>
      <c r="D652" s="105"/>
      <c r="E652" s="105"/>
      <c r="F652" s="105"/>
      <c r="G652" s="105"/>
      <c r="H652" s="106"/>
      <c r="I652" s="107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4.25" customHeight="1">
      <c r="A653" s="105"/>
      <c r="B653" s="105"/>
      <c r="C653" s="106"/>
      <c r="D653" s="105"/>
      <c r="E653" s="105"/>
      <c r="F653" s="105"/>
      <c r="G653" s="105"/>
      <c r="H653" s="106"/>
      <c r="I653" s="107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4.25" customHeight="1">
      <c r="A654" s="105"/>
      <c r="B654" s="105"/>
      <c r="C654" s="106"/>
      <c r="D654" s="105"/>
      <c r="E654" s="105"/>
      <c r="F654" s="105"/>
      <c r="G654" s="105"/>
      <c r="H654" s="106"/>
      <c r="I654" s="107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4.25" customHeight="1">
      <c r="A655" s="105"/>
      <c r="B655" s="105"/>
      <c r="C655" s="106"/>
      <c r="D655" s="105"/>
      <c r="E655" s="105"/>
      <c r="F655" s="105"/>
      <c r="G655" s="105"/>
      <c r="H655" s="106"/>
      <c r="I655" s="107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4.25" customHeight="1">
      <c r="A656" s="105"/>
      <c r="B656" s="105"/>
      <c r="C656" s="106"/>
      <c r="D656" s="105"/>
      <c r="E656" s="105"/>
      <c r="F656" s="105"/>
      <c r="G656" s="105"/>
      <c r="H656" s="106"/>
      <c r="I656" s="107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4.25" customHeight="1">
      <c r="A657" s="105"/>
      <c r="B657" s="105"/>
      <c r="C657" s="106"/>
      <c r="D657" s="105"/>
      <c r="E657" s="105"/>
      <c r="F657" s="105"/>
      <c r="G657" s="105"/>
      <c r="H657" s="106"/>
      <c r="I657" s="107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4.25" customHeight="1">
      <c r="A658" s="105"/>
      <c r="B658" s="105"/>
      <c r="C658" s="106"/>
      <c r="D658" s="105"/>
      <c r="E658" s="105"/>
      <c r="F658" s="105"/>
      <c r="G658" s="105"/>
      <c r="H658" s="106"/>
      <c r="I658" s="107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4.25" customHeight="1">
      <c r="A659" s="105"/>
      <c r="B659" s="105"/>
      <c r="C659" s="106"/>
      <c r="D659" s="105"/>
      <c r="E659" s="105"/>
      <c r="F659" s="105"/>
      <c r="G659" s="105"/>
      <c r="H659" s="106"/>
      <c r="I659" s="107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4.25" customHeight="1">
      <c r="A660" s="105"/>
      <c r="B660" s="105"/>
      <c r="C660" s="106"/>
      <c r="D660" s="105"/>
      <c r="E660" s="105"/>
      <c r="F660" s="105"/>
      <c r="G660" s="105"/>
      <c r="H660" s="106"/>
      <c r="I660" s="107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4.25" customHeight="1">
      <c r="A661" s="105"/>
      <c r="B661" s="105"/>
      <c r="C661" s="106"/>
      <c r="D661" s="105"/>
      <c r="E661" s="105"/>
      <c r="F661" s="105"/>
      <c r="G661" s="105"/>
      <c r="H661" s="106"/>
      <c r="I661" s="107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4.25" customHeight="1">
      <c r="A662" s="105"/>
      <c r="B662" s="105"/>
      <c r="C662" s="106"/>
      <c r="D662" s="105"/>
      <c r="E662" s="105"/>
      <c r="F662" s="105"/>
      <c r="G662" s="105"/>
      <c r="H662" s="106"/>
      <c r="I662" s="107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4.25" customHeight="1">
      <c r="A663" s="105"/>
      <c r="B663" s="105"/>
      <c r="C663" s="106"/>
      <c r="D663" s="105"/>
      <c r="E663" s="105"/>
      <c r="F663" s="105"/>
      <c r="G663" s="105"/>
      <c r="H663" s="106"/>
      <c r="I663" s="107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4.25" customHeight="1">
      <c r="A664" s="105"/>
      <c r="B664" s="105"/>
      <c r="C664" s="106"/>
      <c r="D664" s="105"/>
      <c r="E664" s="105"/>
      <c r="F664" s="105"/>
      <c r="G664" s="105"/>
      <c r="H664" s="106"/>
      <c r="I664" s="107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4.25" customHeight="1">
      <c r="A665" s="105"/>
      <c r="B665" s="105"/>
      <c r="C665" s="106"/>
      <c r="D665" s="105"/>
      <c r="E665" s="105"/>
      <c r="F665" s="105"/>
      <c r="G665" s="105"/>
      <c r="H665" s="106"/>
      <c r="I665" s="107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4.25" customHeight="1">
      <c r="A666" s="105"/>
      <c r="B666" s="105"/>
      <c r="C666" s="106"/>
      <c r="D666" s="105"/>
      <c r="E666" s="105"/>
      <c r="F666" s="105"/>
      <c r="G666" s="105"/>
      <c r="H666" s="106"/>
      <c r="I666" s="107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4.25" customHeight="1">
      <c r="A667" s="105"/>
      <c r="B667" s="105"/>
      <c r="C667" s="106"/>
      <c r="D667" s="105"/>
      <c r="E667" s="105"/>
      <c r="F667" s="105"/>
      <c r="G667" s="105"/>
      <c r="H667" s="106"/>
      <c r="I667" s="107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4.25" customHeight="1">
      <c r="A668" s="105"/>
      <c r="B668" s="105"/>
      <c r="C668" s="106"/>
      <c r="D668" s="105"/>
      <c r="E668" s="105"/>
      <c r="F668" s="105"/>
      <c r="G668" s="105"/>
      <c r="H668" s="106"/>
      <c r="I668" s="107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4.25" customHeight="1">
      <c r="A669" s="105"/>
      <c r="B669" s="105"/>
      <c r="C669" s="106"/>
      <c r="D669" s="105"/>
      <c r="E669" s="105"/>
      <c r="F669" s="105"/>
      <c r="G669" s="105"/>
      <c r="H669" s="106"/>
      <c r="I669" s="107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4.25" customHeight="1">
      <c r="A670" s="105"/>
      <c r="B670" s="105"/>
      <c r="C670" s="106"/>
      <c r="D670" s="105"/>
      <c r="E670" s="105"/>
      <c r="F670" s="105"/>
      <c r="G670" s="105"/>
      <c r="H670" s="106"/>
      <c r="I670" s="107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4.25" customHeight="1">
      <c r="A671" s="105"/>
      <c r="B671" s="105"/>
      <c r="C671" s="106"/>
      <c r="D671" s="105"/>
      <c r="E671" s="105"/>
      <c r="F671" s="105"/>
      <c r="G671" s="105"/>
      <c r="H671" s="106"/>
      <c r="I671" s="107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4.25" customHeight="1">
      <c r="A672" s="105"/>
      <c r="B672" s="105"/>
      <c r="C672" s="106"/>
      <c r="D672" s="105"/>
      <c r="E672" s="105"/>
      <c r="F672" s="105"/>
      <c r="G672" s="105"/>
      <c r="H672" s="106"/>
      <c r="I672" s="107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4.25" customHeight="1">
      <c r="A673" s="105"/>
      <c r="B673" s="105"/>
      <c r="C673" s="106"/>
      <c r="D673" s="105"/>
      <c r="E673" s="105"/>
      <c r="F673" s="105"/>
      <c r="G673" s="105"/>
      <c r="H673" s="106"/>
      <c r="I673" s="107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4.25" customHeight="1">
      <c r="A674" s="105"/>
      <c r="B674" s="105"/>
      <c r="C674" s="106"/>
      <c r="D674" s="105"/>
      <c r="E674" s="105"/>
      <c r="F674" s="105"/>
      <c r="G674" s="105"/>
      <c r="H674" s="106"/>
      <c r="I674" s="107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4.25" customHeight="1">
      <c r="A675" s="105"/>
      <c r="B675" s="105"/>
      <c r="C675" s="106"/>
      <c r="D675" s="105"/>
      <c r="E675" s="105"/>
      <c r="F675" s="105"/>
      <c r="G675" s="105"/>
      <c r="H675" s="106"/>
      <c r="I675" s="107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4.25" customHeight="1">
      <c r="A676" s="105"/>
      <c r="B676" s="105"/>
      <c r="C676" s="106"/>
      <c r="D676" s="105"/>
      <c r="E676" s="105"/>
      <c r="F676" s="105"/>
      <c r="G676" s="105"/>
      <c r="H676" s="106"/>
      <c r="I676" s="107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4.25" customHeight="1">
      <c r="A677" s="105"/>
      <c r="B677" s="105"/>
      <c r="C677" s="106"/>
      <c r="D677" s="105"/>
      <c r="E677" s="105"/>
      <c r="F677" s="105"/>
      <c r="G677" s="105"/>
      <c r="H677" s="106"/>
      <c r="I677" s="107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4.25" customHeight="1">
      <c r="A678" s="105"/>
      <c r="B678" s="105"/>
      <c r="C678" s="106"/>
      <c r="D678" s="105"/>
      <c r="E678" s="105"/>
      <c r="F678" s="105"/>
      <c r="G678" s="105"/>
      <c r="H678" s="106"/>
      <c r="I678" s="107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4.25" customHeight="1">
      <c r="A679" s="105"/>
      <c r="B679" s="105"/>
      <c r="C679" s="106"/>
      <c r="D679" s="105"/>
      <c r="E679" s="105"/>
      <c r="F679" s="105"/>
      <c r="G679" s="105"/>
      <c r="H679" s="106"/>
      <c r="I679" s="107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4.25" customHeight="1">
      <c r="A680" s="105"/>
      <c r="B680" s="105"/>
      <c r="C680" s="106"/>
      <c r="D680" s="105"/>
      <c r="E680" s="105"/>
      <c r="F680" s="105"/>
      <c r="G680" s="105"/>
      <c r="H680" s="106"/>
      <c r="I680" s="107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4.25" customHeight="1">
      <c r="A681" s="105"/>
      <c r="B681" s="105"/>
      <c r="C681" s="106"/>
      <c r="D681" s="105"/>
      <c r="E681" s="105"/>
      <c r="F681" s="105"/>
      <c r="G681" s="105"/>
      <c r="H681" s="106"/>
      <c r="I681" s="107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4.25" customHeight="1">
      <c r="A682" s="105"/>
      <c r="B682" s="105"/>
      <c r="C682" s="106"/>
      <c r="D682" s="105"/>
      <c r="E682" s="105"/>
      <c r="F682" s="105"/>
      <c r="G682" s="105"/>
      <c r="H682" s="106"/>
      <c r="I682" s="107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4.25" customHeight="1">
      <c r="A683" s="105"/>
      <c r="B683" s="105"/>
      <c r="C683" s="106"/>
      <c r="D683" s="105"/>
      <c r="E683" s="105"/>
      <c r="F683" s="105"/>
      <c r="G683" s="105"/>
      <c r="H683" s="106"/>
      <c r="I683" s="107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4.25" customHeight="1">
      <c r="A684" s="105"/>
      <c r="B684" s="105"/>
      <c r="C684" s="106"/>
      <c r="D684" s="105"/>
      <c r="E684" s="105"/>
      <c r="F684" s="105"/>
      <c r="G684" s="105"/>
      <c r="H684" s="106"/>
      <c r="I684" s="107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4.25" customHeight="1">
      <c r="A685" s="105"/>
      <c r="B685" s="105"/>
      <c r="C685" s="106"/>
      <c r="D685" s="105"/>
      <c r="E685" s="105"/>
      <c r="F685" s="105"/>
      <c r="G685" s="105"/>
      <c r="H685" s="106"/>
      <c r="I685" s="107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4.25" customHeight="1">
      <c r="A686" s="105"/>
      <c r="B686" s="105"/>
      <c r="C686" s="106"/>
      <c r="D686" s="105"/>
      <c r="E686" s="105"/>
      <c r="F686" s="105"/>
      <c r="G686" s="105"/>
      <c r="H686" s="106"/>
      <c r="I686" s="107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4.25" customHeight="1">
      <c r="A687" s="105"/>
      <c r="B687" s="105"/>
      <c r="C687" s="106"/>
      <c r="D687" s="105"/>
      <c r="E687" s="105"/>
      <c r="F687" s="105"/>
      <c r="G687" s="105"/>
      <c r="H687" s="106"/>
      <c r="I687" s="107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4.25" customHeight="1">
      <c r="A688" s="105"/>
      <c r="B688" s="105"/>
      <c r="C688" s="106"/>
      <c r="D688" s="105"/>
      <c r="E688" s="105"/>
      <c r="F688" s="105"/>
      <c r="G688" s="105"/>
      <c r="H688" s="106"/>
      <c r="I688" s="107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4.25" customHeight="1">
      <c r="A689" s="105"/>
      <c r="B689" s="105"/>
      <c r="C689" s="106"/>
      <c r="D689" s="105"/>
      <c r="E689" s="105"/>
      <c r="F689" s="105"/>
      <c r="G689" s="105"/>
      <c r="H689" s="106"/>
      <c r="I689" s="107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4.25" customHeight="1">
      <c r="A690" s="105"/>
      <c r="B690" s="105"/>
      <c r="C690" s="106"/>
      <c r="D690" s="105"/>
      <c r="E690" s="105"/>
      <c r="F690" s="105"/>
      <c r="G690" s="105"/>
      <c r="H690" s="106"/>
      <c r="I690" s="107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4.25" customHeight="1">
      <c r="A691" s="105"/>
      <c r="B691" s="105"/>
      <c r="C691" s="106"/>
      <c r="D691" s="105"/>
      <c r="E691" s="105"/>
      <c r="F691" s="105"/>
      <c r="G691" s="105"/>
      <c r="H691" s="106"/>
      <c r="I691" s="107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4.25" customHeight="1">
      <c r="A692" s="105"/>
      <c r="B692" s="105"/>
      <c r="C692" s="106"/>
      <c r="D692" s="105"/>
      <c r="E692" s="105"/>
      <c r="F692" s="105"/>
      <c r="G692" s="105"/>
      <c r="H692" s="106"/>
      <c r="I692" s="107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4.25" customHeight="1">
      <c r="A693" s="105"/>
      <c r="B693" s="105"/>
      <c r="C693" s="106"/>
      <c r="D693" s="105"/>
      <c r="E693" s="105"/>
      <c r="F693" s="105"/>
      <c r="G693" s="105"/>
      <c r="H693" s="106"/>
      <c r="I693" s="107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4.25" customHeight="1">
      <c r="A694" s="105"/>
      <c r="B694" s="105"/>
      <c r="C694" s="106"/>
      <c r="D694" s="105"/>
      <c r="E694" s="105"/>
      <c r="F694" s="105"/>
      <c r="G694" s="105"/>
      <c r="H694" s="106"/>
      <c r="I694" s="107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4.25" customHeight="1">
      <c r="A695" s="105"/>
      <c r="B695" s="105"/>
      <c r="C695" s="106"/>
      <c r="D695" s="105"/>
      <c r="E695" s="105"/>
      <c r="F695" s="105"/>
      <c r="G695" s="105"/>
      <c r="H695" s="106"/>
      <c r="I695" s="107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4.25" customHeight="1">
      <c r="A696" s="105"/>
      <c r="B696" s="105"/>
      <c r="C696" s="106"/>
      <c r="D696" s="105"/>
      <c r="E696" s="105"/>
      <c r="F696" s="105"/>
      <c r="G696" s="105"/>
      <c r="H696" s="106"/>
      <c r="I696" s="107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4.25" customHeight="1">
      <c r="A697" s="105"/>
      <c r="B697" s="105"/>
      <c r="C697" s="106"/>
      <c r="D697" s="105"/>
      <c r="E697" s="105"/>
      <c r="F697" s="105"/>
      <c r="G697" s="105"/>
      <c r="H697" s="106"/>
      <c r="I697" s="107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4.25" customHeight="1">
      <c r="A698" s="105"/>
      <c r="B698" s="105"/>
      <c r="C698" s="106"/>
      <c r="D698" s="105"/>
      <c r="E698" s="105"/>
      <c r="F698" s="105"/>
      <c r="G698" s="105"/>
      <c r="H698" s="106"/>
      <c r="I698" s="107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4.25" customHeight="1">
      <c r="A699" s="105"/>
      <c r="B699" s="105"/>
      <c r="C699" s="106"/>
      <c r="D699" s="105"/>
      <c r="E699" s="105"/>
      <c r="F699" s="105"/>
      <c r="G699" s="105"/>
      <c r="H699" s="106"/>
      <c r="I699" s="107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4.25" customHeight="1">
      <c r="A700" s="105"/>
      <c r="B700" s="105"/>
      <c r="C700" s="106"/>
      <c r="D700" s="105"/>
      <c r="E700" s="105"/>
      <c r="F700" s="105"/>
      <c r="G700" s="105"/>
      <c r="H700" s="106"/>
      <c r="I700" s="107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4.25" customHeight="1">
      <c r="A701" s="105"/>
      <c r="B701" s="105"/>
      <c r="C701" s="106"/>
      <c r="D701" s="105"/>
      <c r="E701" s="105"/>
      <c r="F701" s="105"/>
      <c r="G701" s="105"/>
      <c r="H701" s="106"/>
      <c r="I701" s="107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4.25" customHeight="1">
      <c r="A702" s="105"/>
      <c r="B702" s="105"/>
      <c r="C702" s="106"/>
      <c r="D702" s="105"/>
      <c r="E702" s="105"/>
      <c r="F702" s="105"/>
      <c r="G702" s="105"/>
      <c r="H702" s="106"/>
      <c r="I702" s="107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4.25" customHeight="1">
      <c r="A703" s="105"/>
      <c r="B703" s="105"/>
      <c r="C703" s="106"/>
      <c r="D703" s="105"/>
      <c r="E703" s="105"/>
      <c r="F703" s="105"/>
      <c r="G703" s="105"/>
      <c r="H703" s="106"/>
      <c r="I703" s="107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4.25" customHeight="1">
      <c r="A704" s="105"/>
      <c r="B704" s="105"/>
      <c r="C704" s="106"/>
      <c r="D704" s="105"/>
      <c r="E704" s="105"/>
      <c r="F704" s="105"/>
      <c r="G704" s="105"/>
      <c r="H704" s="106"/>
      <c r="I704" s="107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4.25" customHeight="1">
      <c r="A705" s="105"/>
      <c r="B705" s="105"/>
      <c r="C705" s="106"/>
      <c r="D705" s="105"/>
      <c r="E705" s="105"/>
      <c r="F705" s="105"/>
      <c r="G705" s="105"/>
      <c r="H705" s="106"/>
      <c r="I705" s="107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4.25" customHeight="1">
      <c r="A706" s="105"/>
      <c r="B706" s="105"/>
      <c r="C706" s="106"/>
      <c r="D706" s="105"/>
      <c r="E706" s="105"/>
      <c r="F706" s="105"/>
      <c r="G706" s="105"/>
      <c r="H706" s="106"/>
      <c r="I706" s="107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4.25" customHeight="1">
      <c r="A707" s="105"/>
      <c r="B707" s="105"/>
      <c r="C707" s="106"/>
      <c r="D707" s="105"/>
      <c r="E707" s="105"/>
      <c r="F707" s="105"/>
      <c r="G707" s="105"/>
      <c r="H707" s="106"/>
      <c r="I707" s="107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4.25" customHeight="1">
      <c r="A708" s="105"/>
      <c r="B708" s="105"/>
      <c r="C708" s="106"/>
      <c r="D708" s="105"/>
      <c r="E708" s="105"/>
      <c r="F708" s="105"/>
      <c r="G708" s="105"/>
      <c r="H708" s="106"/>
      <c r="I708" s="107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4.25" customHeight="1">
      <c r="A709" s="105"/>
      <c r="B709" s="105"/>
      <c r="C709" s="106"/>
      <c r="D709" s="105"/>
      <c r="E709" s="105"/>
      <c r="F709" s="105"/>
      <c r="G709" s="105"/>
      <c r="H709" s="106"/>
      <c r="I709" s="107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4.25" customHeight="1">
      <c r="A710" s="105"/>
      <c r="B710" s="105"/>
      <c r="C710" s="106"/>
      <c r="D710" s="105"/>
      <c r="E710" s="105"/>
      <c r="F710" s="105"/>
      <c r="G710" s="105"/>
      <c r="H710" s="106"/>
      <c r="I710" s="107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4.25" customHeight="1">
      <c r="A711" s="105"/>
      <c r="B711" s="105"/>
      <c r="C711" s="106"/>
      <c r="D711" s="105"/>
      <c r="E711" s="105"/>
      <c r="F711" s="105"/>
      <c r="G711" s="105"/>
      <c r="H711" s="106"/>
      <c r="I711" s="107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4.25" customHeight="1">
      <c r="A712" s="105"/>
      <c r="B712" s="105"/>
      <c r="C712" s="106"/>
      <c r="D712" s="105"/>
      <c r="E712" s="105"/>
      <c r="F712" s="105"/>
      <c r="G712" s="105"/>
      <c r="H712" s="106"/>
      <c r="I712" s="107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4.25" customHeight="1">
      <c r="A713" s="105"/>
      <c r="B713" s="105"/>
      <c r="C713" s="106"/>
      <c r="D713" s="105"/>
      <c r="E713" s="105"/>
      <c r="F713" s="105"/>
      <c r="G713" s="105"/>
      <c r="H713" s="106"/>
      <c r="I713" s="107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4.25" customHeight="1">
      <c r="A714" s="105"/>
      <c r="B714" s="105"/>
      <c r="C714" s="106"/>
      <c r="D714" s="105"/>
      <c r="E714" s="105"/>
      <c r="F714" s="105"/>
      <c r="G714" s="105"/>
      <c r="H714" s="106"/>
      <c r="I714" s="107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4.25" customHeight="1">
      <c r="A715" s="105"/>
      <c r="B715" s="105"/>
      <c r="C715" s="106"/>
      <c r="D715" s="105"/>
      <c r="E715" s="105"/>
      <c r="F715" s="105"/>
      <c r="G715" s="105"/>
      <c r="H715" s="106"/>
      <c r="I715" s="107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4.25" customHeight="1">
      <c r="A716" s="105"/>
      <c r="B716" s="105"/>
      <c r="C716" s="106"/>
      <c r="D716" s="105"/>
      <c r="E716" s="105"/>
      <c r="F716" s="105"/>
      <c r="G716" s="105"/>
      <c r="H716" s="106"/>
      <c r="I716" s="107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4.25" customHeight="1">
      <c r="A717" s="105"/>
      <c r="B717" s="105"/>
      <c r="C717" s="106"/>
      <c r="D717" s="105"/>
      <c r="E717" s="105"/>
      <c r="F717" s="105"/>
      <c r="G717" s="105"/>
      <c r="H717" s="106"/>
      <c r="I717" s="107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4.25" customHeight="1">
      <c r="A718" s="105"/>
      <c r="B718" s="105"/>
      <c r="C718" s="106"/>
      <c r="D718" s="105"/>
      <c r="E718" s="105"/>
      <c r="F718" s="105"/>
      <c r="G718" s="105"/>
      <c r="H718" s="106"/>
      <c r="I718" s="107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4.25" customHeight="1">
      <c r="A719" s="105"/>
      <c r="B719" s="105"/>
      <c r="C719" s="106"/>
      <c r="D719" s="105"/>
      <c r="E719" s="105"/>
      <c r="F719" s="105"/>
      <c r="G719" s="105"/>
      <c r="H719" s="106"/>
      <c r="I719" s="107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4.25" customHeight="1">
      <c r="A720" s="105"/>
      <c r="B720" s="105"/>
      <c r="C720" s="106"/>
      <c r="D720" s="105"/>
      <c r="E720" s="105"/>
      <c r="F720" s="105"/>
      <c r="G720" s="105"/>
      <c r="H720" s="106"/>
      <c r="I720" s="107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4.25" customHeight="1">
      <c r="A721" s="105"/>
      <c r="B721" s="105"/>
      <c r="C721" s="106"/>
      <c r="D721" s="105"/>
      <c r="E721" s="105"/>
      <c r="F721" s="105"/>
      <c r="G721" s="105"/>
      <c r="H721" s="106"/>
      <c r="I721" s="107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4.25" customHeight="1">
      <c r="A722" s="105"/>
      <c r="B722" s="105"/>
      <c r="C722" s="106"/>
      <c r="D722" s="105"/>
      <c r="E722" s="105"/>
      <c r="F722" s="105"/>
      <c r="G722" s="105"/>
      <c r="H722" s="106"/>
      <c r="I722" s="107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4.25" customHeight="1">
      <c r="A723" s="105"/>
      <c r="B723" s="105"/>
      <c r="C723" s="106"/>
      <c r="D723" s="105"/>
      <c r="E723" s="105"/>
      <c r="F723" s="105"/>
      <c r="G723" s="105"/>
      <c r="H723" s="106"/>
      <c r="I723" s="107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4.25" customHeight="1">
      <c r="A724" s="105"/>
      <c r="B724" s="105"/>
      <c r="C724" s="106"/>
      <c r="D724" s="105"/>
      <c r="E724" s="105"/>
      <c r="F724" s="105"/>
      <c r="G724" s="105"/>
      <c r="H724" s="106"/>
      <c r="I724" s="107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4.25" customHeight="1">
      <c r="A725" s="105"/>
      <c r="B725" s="105"/>
      <c r="C725" s="106"/>
      <c r="D725" s="105"/>
      <c r="E725" s="105"/>
      <c r="F725" s="105"/>
      <c r="G725" s="105"/>
      <c r="H725" s="106"/>
      <c r="I725" s="107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4.25" customHeight="1">
      <c r="A726" s="105"/>
      <c r="B726" s="105"/>
      <c r="C726" s="106"/>
      <c r="D726" s="105"/>
      <c r="E726" s="105"/>
      <c r="F726" s="105"/>
      <c r="G726" s="105"/>
      <c r="H726" s="106"/>
      <c r="I726" s="107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4.25" customHeight="1">
      <c r="A727" s="105"/>
      <c r="B727" s="105"/>
      <c r="C727" s="106"/>
      <c r="D727" s="105"/>
      <c r="E727" s="105"/>
      <c r="F727" s="105"/>
      <c r="G727" s="105"/>
      <c r="H727" s="106"/>
      <c r="I727" s="107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4.25" customHeight="1">
      <c r="A728" s="105"/>
      <c r="B728" s="105"/>
      <c r="C728" s="106"/>
      <c r="D728" s="105"/>
      <c r="E728" s="105"/>
      <c r="F728" s="105"/>
      <c r="G728" s="105"/>
      <c r="H728" s="106"/>
      <c r="I728" s="107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4.25" customHeight="1">
      <c r="A729" s="105"/>
      <c r="B729" s="105"/>
      <c r="C729" s="106"/>
      <c r="D729" s="105"/>
      <c r="E729" s="105"/>
      <c r="F729" s="105"/>
      <c r="G729" s="105"/>
      <c r="H729" s="106"/>
      <c r="I729" s="107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4.25" customHeight="1">
      <c r="A730" s="105"/>
      <c r="B730" s="105"/>
      <c r="C730" s="106"/>
      <c r="D730" s="105"/>
      <c r="E730" s="105"/>
      <c r="F730" s="105"/>
      <c r="G730" s="105"/>
      <c r="H730" s="106"/>
      <c r="I730" s="107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4.25" customHeight="1">
      <c r="A731" s="105"/>
      <c r="B731" s="105"/>
      <c r="C731" s="106"/>
      <c r="D731" s="105"/>
      <c r="E731" s="105"/>
      <c r="F731" s="105"/>
      <c r="G731" s="105"/>
      <c r="H731" s="106"/>
      <c r="I731" s="107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4.25" customHeight="1">
      <c r="A732" s="105"/>
      <c r="B732" s="105"/>
      <c r="C732" s="106"/>
      <c r="D732" s="105"/>
      <c r="E732" s="105"/>
      <c r="F732" s="105"/>
      <c r="G732" s="105"/>
      <c r="H732" s="106"/>
      <c r="I732" s="107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4.25" customHeight="1">
      <c r="A733" s="105"/>
      <c r="B733" s="105"/>
      <c r="C733" s="106"/>
      <c r="D733" s="105"/>
      <c r="E733" s="105"/>
      <c r="F733" s="105"/>
      <c r="G733" s="105"/>
      <c r="H733" s="106"/>
      <c r="I733" s="107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4.25" customHeight="1">
      <c r="A734" s="105"/>
      <c r="B734" s="105"/>
      <c r="C734" s="106"/>
      <c r="D734" s="105"/>
      <c r="E734" s="105"/>
      <c r="F734" s="105"/>
      <c r="G734" s="105"/>
      <c r="H734" s="106"/>
      <c r="I734" s="107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4.25" customHeight="1">
      <c r="A735" s="105"/>
      <c r="B735" s="105"/>
      <c r="C735" s="106"/>
      <c r="D735" s="105"/>
      <c r="E735" s="105"/>
      <c r="F735" s="105"/>
      <c r="G735" s="105"/>
      <c r="H735" s="106"/>
      <c r="I735" s="107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4.25" customHeight="1">
      <c r="A736" s="105"/>
      <c r="B736" s="105"/>
      <c r="C736" s="106"/>
      <c r="D736" s="105"/>
      <c r="E736" s="105"/>
      <c r="F736" s="105"/>
      <c r="G736" s="105"/>
      <c r="H736" s="106"/>
      <c r="I736" s="107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4.25" customHeight="1">
      <c r="A737" s="105"/>
      <c r="B737" s="105"/>
      <c r="C737" s="106"/>
      <c r="D737" s="105"/>
      <c r="E737" s="105"/>
      <c r="F737" s="105"/>
      <c r="G737" s="105"/>
      <c r="H737" s="106"/>
      <c r="I737" s="107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4.25" customHeight="1">
      <c r="A738" s="105"/>
      <c r="B738" s="105"/>
      <c r="C738" s="106"/>
      <c r="D738" s="105"/>
      <c r="E738" s="105"/>
      <c r="F738" s="105"/>
      <c r="G738" s="105"/>
      <c r="H738" s="106"/>
      <c r="I738" s="107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4.25" customHeight="1">
      <c r="A739" s="105"/>
      <c r="B739" s="105"/>
      <c r="C739" s="106"/>
      <c r="D739" s="105"/>
      <c r="E739" s="105"/>
      <c r="F739" s="105"/>
      <c r="G739" s="105"/>
      <c r="H739" s="106"/>
      <c r="I739" s="107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4.25" customHeight="1">
      <c r="A740" s="105"/>
      <c r="B740" s="105"/>
      <c r="C740" s="106"/>
      <c r="D740" s="105"/>
      <c r="E740" s="105"/>
      <c r="F740" s="105"/>
      <c r="G740" s="105"/>
      <c r="H740" s="106"/>
      <c r="I740" s="107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4.25" customHeight="1">
      <c r="A741" s="105"/>
      <c r="B741" s="105"/>
      <c r="C741" s="106"/>
      <c r="D741" s="105"/>
      <c r="E741" s="105"/>
      <c r="F741" s="105"/>
      <c r="G741" s="105"/>
      <c r="H741" s="106"/>
      <c r="I741" s="107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4.25" customHeight="1">
      <c r="A742" s="105"/>
      <c r="B742" s="105"/>
      <c r="C742" s="106"/>
      <c r="D742" s="105"/>
      <c r="E742" s="105"/>
      <c r="F742" s="105"/>
      <c r="G742" s="105"/>
      <c r="H742" s="106"/>
      <c r="I742" s="107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4.25" customHeight="1">
      <c r="A743" s="105"/>
      <c r="B743" s="105"/>
      <c r="C743" s="106"/>
      <c r="D743" s="105"/>
      <c r="E743" s="105"/>
      <c r="F743" s="105"/>
      <c r="G743" s="105"/>
      <c r="H743" s="106"/>
      <c r="I743" s="107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4.25" customHeight="1">
      <c r="A744" s="105"/>
      <c r="B744" s="105"/>
      <c r="C744" s="106"/>
      <c r="D744" s="105"/>
      <c r="E744" s="105"/>
      <c r="F744" s="105"/>
      <c r="G744" s="105"/>
      <c r="H744" s="106"/>
      <c r="I744" s="107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4.25" customHeight="1">
      <c r="A745" s="105"/>
      <c r="B745" s="105"/>
      <c r="C745" s="106"/>
      <c r="D745" s="105"/>
      <c r="E745" s="105"/>
      <c r="F745" s="105"/>
      <c r="G745" s="105"/>
      <c r="H745" s="106"/>
      <c r="I745" s="107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4.25" customHeight="1">
      <c r="A746" s="105"/>
      <c r="B746" s="105"/>
      <c r="C746" s="106"/>
      <c r="D746" s="105"/>
      <c r="E746" s="105"/>
      <c r="F746" s="105"/>
      <c r="G746" s="105"/>
      <c r="H746" s="106"/>
      <c r="I746" s="107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4.25" customHeight="1">
      <c r="A747" s="105"/>
      <c r="B747" s="105"/>
      <c r="C747" s="106"/>
      <c r="D747" s="105"/>
      <c r="E747" s="105"/>
      <c r="F747" s="105"/>
      <c r="G747" s="105"/>
      <c r="H747" s="106"/>
      <c r="I747" s="107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4.25" customHeight="1">
      <c r="A748" s="105"/>
      <c r="B748" s="105"/>
      <c r="C748" s="106"/>
      <c r="D748" s="105"/>
      <c r="E748" s="105"/>
      <c r="F748" s="105"/>
      <c r="G748" s="105"/>
      <c r="H748" s="106"/>
      <c r="I748" s="107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4.25" customHeight="1">
      <c r="A749" s="105"/>
      <c r="B749" s="105"/>
      <c r="C749" s="106"/>
      <c r="D749" s="105"/>
      <c r="E749" s="105"/>
      <c r="F749" s="105"/>
      <c r="G749" s="105"/>
      <c r="H749" s="106"/>
      <c r="I749" s="107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4.25" customHeight="1">
      <c r="A750" s="105"/>
      <c r="B750" s="105"/>
      <c r="C750" s="106"/>
      <c r="D750" s="105"/>
      <c r="E750" s="105"/>
      <c r="F750" s="105"/>
      <c r="G750" s="105"/>
      <c r="H750" s="106"/>
      <c r="I750" s="107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4.25" customHeight="1">
      <c r="A751" s="105"/>
      <c r="B751" s="105"/>
      <c r="C751" s="106"/>
      <c r="D751" s="105"/>
      <c r="E751" s="105"/>
      <c r="F751" s="105"/>
      <c r="G751" s="105"/>
      <c r="H751" s="106"/>
      <c r="I751" s="107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4.25" customHeight="1">
      <c r="A752" s="105"/>
      <c r="B752" s="105"/>
      <c r="C752" s="106"/>
      <c r="D752" s="105"/>
      <c r="E752" s="105"/>
      <c r="F752" s="105"/>
      <c r="G752" s="105"/>
      <c r="H752" s="106"/>
      <c r="I752" s="107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4.25" customHeight="1">
      <c r="A753" s="105"/>
      <c r="B753" s="105"/>
      <c r="C753" s="106"/>
      <c r="D753" s="105"/>
      <c r="E753" s="105"/>
      <c r="F753" s="105"/>
      <c r="G753" s="105"/>
      <c r="H753" s="106"/>
      <c r="I753" s="107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4.25" customHeight="1">
      <c r="A754" s="105"/>
      <c r="B754" s="105"/>
      <c r="C754" s="106"/>
      <c r="D754" s="105"/>
      <c r="E754" s="105"/>
      <c r="F754" s="105"/>
      <c r="G754" s="105"/>
      <c r="H754" s="106"/>
      <c r="I754" s="107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4.25" customHeight="1">
      <c r="A755" s="105"/>
      <c r="B755" s="105"/>
      <c r="C755" s="106"/>
      <c r="D755" s="105"/>
      <c r="E755" s="105"/>
      <c r="F755" s="105"/>
      <c r="G755" s="105"/>
      <c r="H755" s="106"/>
      <c r="I755" s="107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4.25" customHeight="1">
      <c r="A756" s="105"/>
      <c r="B756" s="105"/>
      <c r="C756" s="106"/>
      <c r="D756" s="105"/>
      <c r="E756" s="105"/>
      <c r="F756" s="105"/>
      <c r="G756" s="105"/>
      <c r="H756" s="106"/>
      <c r="I756" s="107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4.25" customHeight="1">
      <c r="A757" s="105"/>
      <c r="B757" s="105"/>
      <c r="C757" s="106"/>
      <c r="D757" s="105"/>
      <c r="E757" s="105"/>
      <c r="F757" s="105"/>
      <c r="G757" s="105"/>
      <c r="H757" s="106"/>
      <c r="I757" s="107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4.25" customHeight="1">
      <c r="A758" s="105"/>
      <c r="B758" s="105"/>
      <c r="C758" s="106"/>
      <c r="D758" s="105"/>
      <c r="E758" s="105"/>
      <c r="F758" s="105"/>
      <c r="G758" s="105"/>
      <c r="H758" s="106"/>
      <c r="I758" s="107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4.25" customHeight="1">
      <c r="A759" s="105"/>
      <c r="B759" s="105"/>
      <c r="C759" s="106"/>
      <c r="D759" s="105"/>
      <c r="E759" s="105"/>
      <c r="F759" s="105"/>
      <c r="G759" s="105"/>
      <c r="H759" s="106"/>
      <c r="I759" s="107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4.25" customHeight="1">
      <c r="A760" s="105"/>
      <c r="B760" s="105"/>
      <c r="C760" s="106"/>
      <c r="D760" s="105"/>
      <c r="E760" s="105"/>
      <c r="F760" s="105"/>
      <c r="G760" s="105"/>
      <c r="H760" s="106"/>
      <c r="I760" s="107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4.25" customHeight="1">
      <c r="A761" s="105"/>
      <c r="B761" s="105"/>
      <c r="C761" s="106"/>
      <c r="D761" s="105"/>
      <c r="E761" s="105"/>
      <c r="F761" s="105"/>
      <c r="G761" s="105"/>
      <c r="H761" s="106"/>
      <c r="I761" s="107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4.25" customHeight="1">
      <c r="A762" s="105"/>
      <c r="B762" s="105"/>
      <c r="C762" s="106"/>
      <c r="D762" s="105"/>
      <c r="E762" s="105"/>
      <c r="F762" s="105"/>
      <c r="G762" s="105"/>
      <c r="H762" s="106"/>
      <c r="I762" s="107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4.25" customHeight="1">
      <c r="A763" s="105"/>
      <c r="B763" s="105"/>
      <c r="C763" s="106"/>
      <c r="D763" s="105"/>
      <c r="E763" s="105"/>
      <c r="F763" s="105"/>
      <c r="G763" s="105"/>
      <c r="H763" s="106"/>
      <c r="I763" s="107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4.25" customHeight="1">
      <c r="A764" s="105"/>
      <c r="B764" s="105"/>
      <c r="C764" s="106"/>
      <c r="D764" s="105"/>
      <c r="E764" s="105"/>
      <c r="F764" s="105"/>
      <c r="G764" s="105"/>
      <c r="H764" s="106"/>
      <c r="I764" s="107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4.25" customHeight="1">
      <c r="A765" s="105"/>
      <c r="B765" s="105"/>
      <c r="C765" s="106"/>
      <c r="D765" s="105"/>
      <c r="E765" s="105"/>
      <c r="F765" s="105"/>
      <c r="G765" s="105"/>
      <c r="H765" s="106"/>
      <c r="I765" s="107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4.25" customHeight="1">
      <c r="A766" s="105"/>
      <c r="B766" s="105"/>
      <c r="C766" s="106"/>
      <c r="D766" s="105"/>
      <c r="E766" s="105"/>
      <c r="F766" s="105"/>
      <c r="G766" s="105"/>
      <c r="H766" s="106"/>
      <c r="I766" s="107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4.25" customHeight="1">
      <c r="A767" s="105"/>
      <c r="B767" s="105"/>
      <c r="C767" s="106"/>
      <c r="D767" s="105"/>
      <c r="E767" s="105"/>
      <c r="F767" s="105"/>
      <c r="G767" s="105"/>
      <c r="H767" s="106"/>
      <c r="I767" s="107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4.25" customHeight="1">
      <c r="A768" s="105"/>
      <c r="B768" s="105"/>
      <c r="C768" s="106"/>
      <c r="D768" s="105"/>
      <c r="E768" s="105"/>
      <c r="F768" s="105"/>
      <c r="G768" s="105"/>
      <c r="H768" s="106"/>
      <c r="I768" s="107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4.25" customHeight="1">
      <c r="A769" s="105"/>
      <c r="B769" s="105"/>
      <c r="C769" s="106"/>
      <c r="D769" s="105"/>
      <c r="E769" s="105"/>
      <c r="F769" s="105"/>
      <c r="G769" s="105"/>
      <c r="H769" s="106"/>
      <c r="I769" s="107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4.25" customHeight="1">
      <c r="A770" s="105"/>
      <c r="B770" s="105"/>
      <c r="C770" s="106"/>
      <c r="D770" s="105"/>
      <c r="E770" s="105"/>
      <c r="F770" s="105"/>
      <c r="G770" s="105"/>
      <c r="H770" s="106"/>
      <c r="I770" s="107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4.25" customHeight="1">
      <c r="A771" s="105"/>
      <c r="B771" s="105"/>
      <c r="C771" s="106"/>
      <c r="D771" s="105"/>
      <c r="E771" s="105"/>
      <c r="F771" s="105"/>
      <c r="G771" s="105"/>
      <c r="H771" s="106"/>
      <c r="I771" s="107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4.25" customHeight="1">
      <c r="A772" s="105"/>
      <c r="B772" s="105"/>
      <c r="C772" s="106"/>
      <c r="D772" s="105"/>
      <c r="E772" s="105"/>
      <c r="F772" s="105"/>
      <c r="G772" s="105"/>
      <c r="H772" s="106"/>
      <c r="I772" s="107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4.25" customHeight="1">
      <c r="A773" s="105"/>
      <c r="B773" s="105"/>
      <c r="C773" s="106"/>
      <c r="D773" s="105"/>
      <c r="E773" s="105"/>
      <c r="F773" s="105"/>
      <c r="G773" s="105"/>
      <c r="H773" s="106"/>
      <c r="I773" s="107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4.25" customHeight="1">
      <c r="A774" s="105"/>
      <c r="B774" s="105"/>
      <c r="C774" s="106"/>
      <c r="D774" s="105"/>
      <c r="E774" s="105"/>
      <c r="F774" s="105"/>
      <c r="G774" s="105"/>
      <c r="H774" s="106"/>
      <c r="I774" s="107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4.25" customHeight="1">
      <c r="A775" s="105"/>
      <c r="B775" s="105"/>
      <c r="C775" s="106"/>
      <c r="D775" s="105"/>
      <c r="E775" s="105"/>
      <c r="F775" s="105"/>
      <c r="G775" s="105"/>
      <c r="H775" s="106"/>
      <c r="I775" s="107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4.25" customHeight="1">
      <c r="A776" s="105"/>
      <c r="B776" s="105"/>
      <c r="C776" s="106"/>
      <c r="D776" s="105"/>
      <c r="E776" s="105"/>
      <c r="F776" s="105"/>
      <c r="G776" s="105"/>
      <c r="H776" s="106"/>
      <c r="I776" s="107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4.25" customHeight="1">
      <c r="A777" s="105"/>
      <c r="B777" s="105"/>
      <c r="C777" s="106"/>
      <c r="D777" s="105"/>
      <c r="E777" s="105"/>
      <c r="F777" s="105"/>
      <c r="G777" s="105"/>
      <c r="H777" s="106"/>
      <c r="I777" s="107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4.25" customHeight="1">
      <c r="A778" s="105"/>
      <c r="B778" s="105"/>
      <c r="C778" s="106"/>
      <c r="D778" s="105"/>
      <c r="E778" s="105"/>
      <c r="F778" s="105"/>
      <c r="G778" s="105"/>
      <c r="H778" s="106"/>
      <c r="I778" s="107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4.25" customHeight="1">
      <c r="A779" s="105"/>
      <c r="B779" s="105"/>
      <c r="C779" s="106"/>
      <c r="D779" s="105"/>
      <c r="E779" s="105"/>
      <c r="F779" s="105"/>
      <c r="G779" s="105"/>
      <c r="H779" s="106"/>
      <c r="I779" s="107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4.25" customHeight="1">
      <c r="A780" s="105"/>
      <c r="B780" s="105"/>
      <c r="C780" s="106"/>
      <c r="D780" s="105"/>
      <c r="E780" s="105"/>
      <c r="F780" s="105"/>
      <c r="G780" s="105"/>
      <c r="H780" s="106"/>
      <c r="I780" s="107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4.25" customHeight="1">
      <c r="A781" s="105"/>
      <c r="B781" s="105"/>
      <c r="C781" s="106"/>
      <c r="D781" s="105"/>
      <c r="E781" s="105"/>
      <c r="F781" s="105"/>
      <c r="G781" s="105"/>
      <c r="H781" s="106"/>
      <c r="I781" s="107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4.25" customHeight="1">
      <c r="A782" s="105"/>
      <c r="B782" s="105"/>
      <c r="C782" s="106"/>
      <c r="D782" s="105"/>
      <c r="E782" s="105"/>
      <c r="F782" s="105"/>
      <c r="G782" s="105"/>
      <c r="H782" s="106"/>
      <c r="I782" s="107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4.25" customHeight="1">
      <c r="A783" s="105"/>
      <c r="B783" s="105"/>
      <c r="C783" s="106"/>
      <c r="D783" s="105"/>
      <c r="E783" s="105"/>
      <c r="F783" s="105"/>
      <c r="G783" s="105"/>
      <c r="H783" s="106"/>
      <c r="I783" s="107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4.25" customHeight="1">
      <c r="A784" s="105"/>
      <c r="B784" s="105"/>
      <c r="C784" s="106"/>
      <c r="D784" s="105"/>
      <c r="E784" s="105"/>
      <c r="F784" s="105"/>
      <c r="G784" s="105"/>
      <c r="H784" s="106"/>
      <c r="I784" s="107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4.25" customHeight="1">
      <c r="A785" s="105"/>
      <c r="B785" s="105"/>
      <c r="C785" s="106"/>
      <c r="D785" s="105"/>
      <c r="E785" s="105"/>
      <c r="F785" s="105"/>
      <c r="G785" s="105"/>
      <c r="H785" s="106"/>
      <c r="I785" s="107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4.25" customHeight="1">
      <c r="A786" s="105"/>
      <c r="B786" s="105"/>
      <c r="C786" s="106"/>
      <c r="D786" s="105"/>
      <c r="E786" s="105"/>
      <c r="F786" s="105"/>
      <c r="G786" s="105"/>
      <c r="H786" s="106"/>
      <c r="I786" s="107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4.25" customHeight="1">
      <c r="A787" s="105"/>
      <c r="B787" s="105"/>
      <c r="C787" s="106"/>
      <c r="D787" s="105"/>
      <c r="E787" s="105"/>
      <c r="F787" s="105"/>
      <c r="G787" s="105"/>
      <c r="H787" s="106"/>
      <c r="I787" s="107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4.25" customHeight="1">
      <c r="A788" s="105"/>
      <c r="B788" s="105"/>
      <c r="C788" s="106"/>
      <c r="D788" s="105"/>
      <c r="E788" s="105"/>
      <c r="F788" s="105"/>
      <c r="G788" s="105"/>
      <c r="H788" s="106"/>
      <c r="I788" s="107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4.25" customHeight="1">
      <c r="A789" s="105"/>
      <c r="B789" s="105"/>
      <c r="C789" s="106"/>
      <c r="D789" s="105"/>
      <c r="E789" s="105"/>
      <c r="F789" s="105"/>
      <c r="G789" s="105"/>
      <c r="H789" s="106"/>
      <c r="I789" s="107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4.25" customHeight="1">
      <c r="A790" s="105"/>
      <c r="B790" s="105"/>
      <c r="C790" s="106"/>
      <c r="D790" s="105"/>
      <c r="E790" s="105"/>
      <c r="F790" s="105"/>
      <c r="G790" s="105"/>
      <c r="H790" s="106"/>
      <c r="I790" s="107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4.25" customHeight="1">
      <c r="A791" s="105"/>
      <c r="B791" s="105"/>
      <c r="C791" s="106"/>
      <c r="D791" s="105"/>
      <c r="E791" s="105"/>
      <c r="F791" s="105"/>
      <c r="G791" s="105"/>
      <c r="H791" s="106"/>
      <c r="I791" s="107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4.25" customHeight="1">
      <c r="A792" s="105"/>
      <c r="B792" s="105"/>
      <c r="C792" s="106"/>
      <c r="D792" s="105"/>
      <c r="E792" s="105"/>
      <c r="F792" s="105"/>
      <c r="G792" s="105"/>
      <c r="H792" s="106"/>
      <c r="I792" s="107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4.25" customHeight="1">
      <c r="A793" s="105"/>
      <c r="B793" s="105"/>
      <c r="C793" s="106"/>
      <c r="D793" s="105"/>
      <c r="E793" s="105"/>
      <c r="F793" s="105"/>
      <c r="G793" s="105"/>
      <c r="H793" s="106"/>
      <c r="I793" s="107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4.25" customHeight="1">
      <c r="A794" s="105"/>
      <c r="B794" s="105"/>
      <c r="C794" s="106"/>
      <c r="D794" s="105"/>
      <c r="E794" s="105"/>
      <c r="F794" s="105"/>
      <c r="G794" s="105"/>
      <c r="H794" s="106"/>
      <c r="I794" s="107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4.25" customHeight="1">
      <c r="A795" s="105"/>
      <c r="B795" s="105"/>
      <c r="C795" s="106"/>
      <c r="D795" s="105"/>
      <c r="E795" s="105"/>
      <c r="F795" s="105"/>
      <c r="G795" s="105"/>
      <c r="H795" s="106"/>
      <c r="I795" s="107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4.25" customHeight="1">
      <c r="A796" s="105"/>
      <c r="B796" s="105"/>
      <c r="C796" s="106"/>
      <c r="D796" s="105"/>
      <c r="E796" s="105"/>
      <c r="F796" s="105"/>
      <c r="G796" s="105"/>
      <c r="H796" s="106"/>
      <c r="I796" s="107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4.25" customHeight="1">
      <c r="A797" s="105"/>
      <c r="B797" s="105"/>
      <c r="C797" s="106"/>
      <c r="D797" s="105"/>
      <c r="E797" s="105"/>
      <c r="F797" s="105"/>
      <c r="G797" s="105"/>
      <c r="H797" s="106"/>
      <c r="I797" s="107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4.25" customHeight="1">
      <c r="A798" s="105"/>
      <c r="B798" s="105"/>
      <c r="C798" s="106"/>
      <c r="D798" s="105"/>
      <c r="E798" s="105"/>
      <c r="F798" s="105"/>
      <c r="G798" s="105"/>
      <c r="H798" s="106"/>
      <c r="I798" s="107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4.25" customHeight="1">
      <c r="A799" s="105"/>
      <c r="B799" s="105"/>
      <c r="C799" s="106"/>
      <c r="D799" s="105"/>
      <c r="E799" s="105"/>
      <c r="F799" s="105"/>
      <c r="G799" s="105"/>
      <c r="H799" s="106"/>
      <c r="I799" s="107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4.25" customHeight="1">
      <c r="A800" s="105"/>
      <c r="B800" s="105"/>
      <c r="C800" s="106"/>
      <c r="D800" s="105"/>
      <c r="E800" s="105"/>
      <c r="F800" s="105"/>
      <c r="G800" s="105"/>
      <c r="H800" s="106"/>
      <c r="I800" s="107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4.25" customHeight="1">
      <c r="A801" s="105"/>
      <c r="B801" s="105"/>
      <c r="C801" s="106"/>
      <c r="D801" s="105"/>
      <c r="E801" s="105"/>
      <c r="F801" s="105"/>
      <c r="G801" s="105"/>
      <c r="H801" s="106"/>
      <c r="I801" s="107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4.25" customHeight="1">
      <c r="A802" s="105"/>
      <c r="B802" s="105"/>
      <c r="C802" s="106"/>
      <c r="D802" s="105"/>
      <c r="E802" s="105"/>
      <c r="F802" s="105"/>
      <c r="G802" s="105"/>
      <c r="H802" s="106"/>
      <c r="I802" s="107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4.25" customHeight="1">
      <c r="A803" s="105"/>
      <c r="B803" s="105"/>
      <c r="C803" s="106"/>
      <c r="D803" s="105"/>
      <c r="E803" s="105"/>
      <c r="F803" s="105"/>
      <c r="G803" s="105"/>
      <c r="H803" s="106"/>
      <c r="I803" s="107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4.25" customHeight="1">
      <c r="A804" s="105"/>
      <c r="B804" s="105"/>
      <c r="C804" s="106"/>
      <c r="D804" s="105"/>
      <c r="E804" s="105"/>
      <c r="F804" s="105"/>
      <c r="G804" s="105"/>
      <c r="H804" s="106"/>
      <c r="I804" s="107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4.25" customHeight="1">
      <c r="A805" s="105"/>
      <c r="B805" s="105"/>
      <c r="C805" s="106"/>
      <c r="D805" s="105"/>
      <c r="E805" s="105"/>
      <c r="F805" s="105"/>
      <c r="G805" s="105"/>
      <c r="H805" s="106"/>
      <c r="I805" s="107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4.25" customHeight="1">
      <c r="A806" s="105"/>
      <c r="B806" s="105"/>
      <c r="C806" s="106"/>
      <c r="D806" s="105"/>
      <c r="E806" s="105"/>
      <c r="F806" s="105"/>
      <c r="G806" s="105"/>
      <c r="H806" s="106"/>
      <c r="I806" s="107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4.25" customHeight="1">
      <c r="A807" s="105"/>
      <c r="B807" s="105"/>
      <c r="C807" s="106"/>
      <c r="D807" s="105"/>
      <c r="E807" s="105"/>
      <c r="F807" s="105"/>
      <c r="G807" s="105"/>
      <c r="H807" s="106"/>
      <c r="I807" s="107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4.25" customHeight="1">
      <c r="A808" s="105"/>
      <c r="B808" s="105"/>
      <c r="C808" s="106"/>
      <c r="D808" s="105"/>
      <c r="E808" s="105"/>
      <c r="F808" s="105"/>
      <c r="G808" s="105"/>
      <c r="H808" s="106"/>
      <c r="I808" s="107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4.25" customHeight="1">
      <c r="A809" s="105"/>
      <c r="B809" s="105"/>
      <c r="C809" s="106"/>
      <c r="D809" s="105"/>
      <c r="E809" s="105"/>
      <c r="F809" s="105"/>
      <c r="G809" s="105"/>
      <c r="H809" s="106"/>
      <c r="I809" s="107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4.25" customHeight="1">
      <c r="A810" s="105"/>
      <c r="B810" s="105"/>
      <c r="C810" s="106"/>
      <c r="D810" s="105"/>
      <c r="E810" s="105"/>
      <c r="F810" s="105"/>
      <c r="G810" s="105"/>
      <c r="H810" s="106"/>
      <c r="I810" s="107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4.25" customHeight="1">
      <c r="A811" s="105"/>
      <c r="B811" s="105"/>
      <c r="C811" s="106"/>
      <c r="D811" s="105"/>
      <c r="E811" s="105"/>
      <c r="F811" s="105"/>
      <c r="G811" s="105"/>
      <c r="H811" s="106"/>
      <c r="I811" s="107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4.25" customHeight="1">
      <c r="A812" s="105"/>
      <c r="B812" s="105"/>
      <c r="C812" s="106"/>
      <c r="D812" s="105"/>
      <c r="E812" s="105"/>
      <c r="F812" s="105"/>
      <c r="G812" s="105"/>
      <c r="H812" s="106"/>
      <c r="I812" s="107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4.25" customHeight="1">
      <c r="A813" s="105"/>
      <c r="B813" s="105"/>
      <c r="C813" s="106"/>
      <c r="D813" s="105"/>
      <c r="E813" s="105"/>
      <c r="F813" s="105"/>
      <c r="G813" s="105"/>
      <c r="H813" s="106"/>
      <c r="I813" s="107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4.25" customHeight="1">
      <c r="A814" s="105"/>
      <c r="B814" s="105"/>
      <c r="C814" s="106"/>
      <c r="D814" s="105"/>
      <c r="E814" s="105"/>
      <c r="F814" s="105"/>
      <c r="G814" s="105"/>
      <c r="H814" s="106"/>
      <c r="I814" s="107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4.25" customHeight="1">
      <c r="A815" s="105"/>
      <c r="B815" s="105"/>
      <c r="C815" s="106"/>
      <c r="D815" s="105"/>
      <c r="E815" s="105"/>
      <c r="F815" s="105"/>
      <c r="G815" s="105"/>
      <c r="H815" s="106"/>
      <c r="I815" s="107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4.25" customHeight="1">
      <c r="A816" s="105"/>
      <c r="B816" s="105"/>
      <c r="C816" s="106"/>
      <c r="D816" s="105"/>
      <c r="E816" s="105"/>
      <c r="F816" s="105"/>
      <c r="G816" s="105"/>
      <c r="H816" s="106"/>
      <c r="I816" s="107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4.25" customHeight="1">
      <c r="A817" s="105"/>
      <c r="B817" s="105"/>
      <c r="C817" s="106"/>
      <c r="D817" s="105"/>
      <c r="E817" s="105"/>
      <c r="F817" s="105"/>
      <c r="G817" s="105"/>
      <c r="H817" s="106"/>
      <c r="I817" s="107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4.25" customHeight="1">
      <c r="A818" s="105"/>
      <c r="B818" s="105"/>
      <c r="C818" s="106"/>
      <c r="D818" s="105"/>
      <c r="E818" s="105"/>
      <c r="F818" s="105"/>
      <c r="G818" s="105"/>
      <c r="H818" s="106"/>
      <c r="I818" s="107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4.25" customHeight="1">
      <c r="A819" s="105"/>
      <c r="B819" s="105"/>
      <c r="C819" s="106"/>
      <c r="D819" s="105"/>
      <c r="E819" s="105"/>
      <c r="F819" s="105"/>
      <c r="G819" s="105"/>
      <c r="H819" s="106"/>
      <c r="I819" s="107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4.25" customHeight="1">
      <c r="A820" s="105"/>
      <c r="B820" s="105"/>
      <c r="C820" s="106"/>
      <c r="D820" s="105"/>
      <c r="E820" s="105"/>
      <c r="F820" s="105"/>
      <c r="G820" s="105"/>
      <c r="H820" s="106"/>
      <c r="I820" s="107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4.25" customHeight="1">
      <c r="A821" s="105"/>
      <c r="B821" s="105"/>
      <c r="C821" s="106"/>
      <c r="D821" s="105"/>
      <c r="E821" s="105"/>
      <c r="F821" s="105"/>
      <c r="G821" s="105"/>
      <c r="H821" s="106"/>
      <c r="I821" s="107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4.25" customHeight="1">
      <c r="A822" s="105"/>
      <c r="B822" s="105"/>
      <c r="C822" s="106"/>
      <c r="D822" s="105"/>
      <c r="E822" s="105"/>
      <c r="F822" s="105"/>
      <c r="G822" s="105"/>
      <c r="H822" s="106"/>
      <c r="I822" s="107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4.25" customHeight="1">
      <c r="A823" s="105"/>
      <c r="B823" s="105"/>
      <c r="C823" s="106"/>
      <c r="D823" s="105"/>
      <c r="E823" s="105"/>
      <c r="F823" s="105"/>
      <c r="G823" s="105"/>
      <c r="H823" s="106"/>
      <c r="I823" s="107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4.25" customHeight="1">
      <c r="A824" s="105"/>
      <c r="B824" s="105"/>
      <c r="C824" s="106"/>
      <c r="D824" s="105"/>
      <c r="E824" s="105"/>
      <c r="F824" s="105"/>
      <c r="G824" s="105"/>
      <c r="H824" s="106"/>
      <c r="I824" s="107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4.25" customHeight="1">
      <c r="A825" s="105"/>
      <c r="B825" s="105"/>
      <c r="C825" s="106"/>
      <c r="D825" s="105"/>
      <c r="E825" s="105"/>
      <c r="F825" s="105"/>
      <c r="G825" s="105"/>
      <c r="H825" s="106"/>
      <c r="I825" s="107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4.25" customHeight="1">
      <c r="A826" s="105"/>
      <c r="B826" s="105"/>
      <c r="C826" s="106"/>
      <c r="D826" s="105"/>
      <c r="E826" s="105"/>
      <c r="F826" s="105"/>
      <c r="G826" s="105"/>
      <c r="H826" s="106"/>
      <c r="I826" s="107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4.25" customHeight="1">
      <c r="A827" s="105"/>
      <c r="B827" s="105"/>
      <c r="C827" s="106"/>
      <c r="D827" s="105"/>
      <c r="E827" s="105"/>
      <c r="F827" s="105"/>
      <c r="G827" s="105"/>
      <c r="H827" s="106"/>
      <c r="I827" s="107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4.25" customHeight="1">
      <c r="A828" s="105"/>
      <c r="B828" s="105"/>
      <c r="C828" s="106"/>
      <c r="D828" s="105"/>
      <c r="E828" s="105"/>
      <c r="F828" s="105"/>
      <c r="G828" s="105"/>
      <c r="H828" s="106"/>
      <c r="I828" s="107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4.25" customHeight="1">
      <c r="A829" s="105"/>
      <c r="B829" s="105"/>
      <c r="C829" s="106"/>
      <c r="D829" s="105"/>
      <c r="E829" s="105"/>
      <c r="F829" s="105"/>
      <c r="G829" s="105"/>
      <c r="H829" s="106"/>
      <c r="I829" s="107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4.25" customHeight="1">
      <c r="A830" s="105"/>
      <c r="B830" s="105"/>
      <c r="C830" s="106"/>
      <c r="D830" s="105"/>
      <c r="E830" s="105"/>
      <c r="F830" s="105"/>
      <c r="G830" s="105"/>
      <c r="H830" s="106"/>
      <c r="I830" s="107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4.25" customHeight="1">
      <c r="A831" s="105"/>
      <c r="B831" s="105"/>
      <c r="C831" s="106"/>
      <c r="D831" s="105"/>
      <c r="E831" s="105"/>
      <c r="F831" s="105"/>
      <c r="G831" s="105"/>
      <c r="H831" s="106"/>
      <c r="I831" s="107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4.25" customHeight="1">
      <c r="A832" s="105"/>
      <c r="B832" s="105"/>
      <c r="C832" s="106"/>
      <c r="D832" s="105"/>
      <c r="E832" s="105"/>
      <c r="F832" s="105"/>
      <c r="G832" s="105"/>
      <c r="H832" s="106"/>
      <c r="I832" s="107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4.25" customHeight="1">
      <c r="A833" s="105"/>
      <c r="B833" s="105"/>
      <c r="C833" s="106"/>
      <c r="D833" s="105"/>
      <c r="E833" s="105"/>
      <c r="F833" s="105"/>
      <c r="G833" s="105"/>
      <c r="H833" s="106"/>
      <c r="I833" s="107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4.25" customHeight="1">
      <c r="A834" s="105"/>
      <c r="B834" s="105"/>
      <c r="C834" s="106"/>
      <c r="D834" s="105"/>
      <c r="E834" s="105"/>
      <c r="F834" s="105"/>
      <c r="G834" s="105"/>
      <c r="H834" s="106"/>
      <c r="I834" s="107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4.25" customHeight="1">
      <c r="A835" s="105"/>
      <c r="B835" s="105"/>
      <c r="C835" s="106"/>
      <c r="D835" s="105"/>
      <c r="E835" s="105"/>
      <c r="F835" s="105"/>
      <c r="G835" s="105"/>
      <c r="H835" s="106"/>
      <c r="I835" s="107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4.25" customHeight="1">
      <c r="A836" s="105"/>
      <c r="B836" s="105"/>
      <c r="C836" s="106"/>
      <c r="D836" s="105"/>
      <c r="E836" s="105"/>
      <c r="F836" s="105"/>
      <c r="G836" s="105"/>
      <c r="H836" s="106"/>
      <c r="I836" s="107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4.25" customHeight="1">
      <c r="A837" s="105"/>
      <c r="B837" s="105"/>
      <c r="C837" s="106"/>
      <c r="D837" s="105"/>
      <c r="E837" s="105"/>
      <c r="F837" s="105"/>
      <c r="G837" s="105"/>
      <c r="H837" s="106"/>
      <c r="I837" s="107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4.25" customHeight="1">
      <c r="A838" s="105"/>
      <c r="B838" s="105"/>
      <c r="C838" s="106"/>
      <c r="D838" s="105"/>
      <c r="E838" s="105"/>
      <c r="F838" s="105"/>
      <c r="G838" s="105"/>
      <c r="H838" s="106"/>
      <c r="I838" s="107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4.25" customHeight="1">
      <c r="A839" s="105"/>
      <c r="B839" s="105"/>
      <c r="C839" s="106"/>
      <c r="D839" s="105"/>
      <c r="E839" s="105"/>
      <c r="F839" s="105"/>
      <c r="G839" s="105"/>
      <c r="H839" s="106"/>
      <c r="I839" s="107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4.25" customHeight="1">
      <c r="A840" s="105"/>
      <c r="B840" s="105"/>
      <c r="C840" s="106"/>
      <c r="D840" s="105"/>
      <c r="E840" s="105"/>
      <c r="F840" s="105"/>
      <c r="G840" s="105"/>
      <c r="H840" s="106"/>
      <c r="I840" s="107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4.25" customHeight="1">
      <c r="A841" s="105"/>
      <c r="B841" s="105"/>
      <c r="C841" s="106"/>
      <c r="D841" s="105"/>
      <c r="E841" s="105"/>
      <c r="F841" s="105"/>
      <c r="G841" s="105"/>
      <c r="H841" s="106"/>
      <c r="I841" s="107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4.25" customHeight="1">
      <c r="A842" s="105"/>
      <c r="B842" s="105"/>
      <c r="C842" s="106"/>
      <c r="D842" s="105"/>
      <c r="E842" s="105"/>
      <c r="F842" s="105"/>
      <c r="G842" s="105"/>
      <c r="H842" s="106"/>
      <c r="I842" s="107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4.25" customHeight="1">
      <c r="A843" s="105"/>
      <c r="B843" s="105"/>
      <c r="C843" s="106"/>
      <c r="D843" s="105"/>
      <c r="E843" s="105"/>
      <c r="F843" s="105"/>
      <c r="G843" s="105"/>
      <c r="H843" s="106"/>
      <c r="I843" s="107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4.25" customHeight="1">
      <c r="A844" s="105"/>
      <c r="B844" s="105"/>
      <c r="C844" s="106"/>
      <c r="D844" s="105"/>
      <c r="E844" s="105"/>
      <c r="F844" s="105"/>
      <c r="G844" s="105"/>
      <c r="H844" s="106"/>
      <c r="I844" s="107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4.25" customHeight="1">
      <c r="A845" s="105"/>
      <c r="B845" s="105"/>
      <c r="C845" s="106"/>
      <c r="D845" s="105"/>
      <c r="E845" s="105"/>
      <c r="F845" s="105"/>
      <c r="G845" s="105"/>
      <c r="H845" s="106"/>
      <c r="I845" s="107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4.25" customHeight="1">
      <c r="A846" s="105"/>
      <c r="B846" s="105"/>
      <c r="C846" s="106"/>
      <c r="D846" s="105"/>
      <c r="E846" s="105"/>
      <c r="F846" s="105"/>
      <c r="G846" s="105"/>
      <c r="H846" s="106"/>
      <c r="I846" s="107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4.25" customHeight="1">
      <c r="A847" s="105"/>
      <c r="B847" s="105"/>
      <c r="C847" s="106"/>
      <c r="D847" s="105"/>
      <c r="E847" s="105"/>
      <c r="F847" s="105"/>
      <c r="G847" s="105"/>
      <c r="H847" s="106"/>
      <c r="I847" s="107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4.25" customHeight="1">
      <c r="A848" s="105"/>
      <c r="B848" s="105"/>
      <c r="C848" s="106"/>
      <c r="D848" s="105"/>
      <c r="E848" s="105"/>
      <c r="F848" s="105"/>
      <c r="G848" s="105"/>
      <c r="H848" s="106"/>
      <c r="I848" s="107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4.25" customHeight="1">
      <c r="A849" s="105"/>
      <c r="B849" s="105"/>
      <c r="C849" s="106"/>
      <c r="D849" s="105"/>
      <c r="E849" s="105"/>
      <c r="F849" s="105"/>
      <c r="G849" s="105"/>
      <c r="H849" s="106"/>
      <c r="I849" s="107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4.25" customHeight="1">
      <c r="A850" s="105"/>
      <c r="B850" s="105"/>
      <c r="C850" s="106"/>
      <c r="D850" s="105"/>
      <c r="E850" s="105"/>
      <c r="F850" s="105"/>
      <c r="G850" s="105"/>
      <c r="H850" s="106"/>
      <c r="I850" s="107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4.25" customHeight="1">
      <c r="A851" s="105"/>
      <c r="B851" s="105"/>
      <c r="C851" s="106"/>
      <c r="D851" s="105"/>
      <c r="E851" s="105"/>
      <c r="F851" s="105"/>
      <c r="G851" s="105"/>
      <c r="H851" s="106"/>
      <c r="I851" s="107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4.25" customHeight="1">
      <c r="A852" s="105"/>
      <c r="B852" s="105"/>
      <c r="C852" s="106"/>
      <c r="D852" s="105"/>
      <c r="E852" s="105"/>
      <c r="F852" s="105"/>
      <c r="G852" s="105"/>
      <c r="H852" s="106"/>
      <c r="I852" s="107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4.25" customHeight="1">
      <c r="A853" s="105"/>
      <c r="B853" s="105"/>
      <c r="C853" s="106"/>
      <c r="D853" s="105"/>
      <c r="E853" s="105"/>
      <c r="F853" s="105"/>
      <c r="G853" s="105"/>
      <c r="H853" s="106"/>
      <c r="I853" s="107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4.25" customHeight="1">
      <c r="A854" s="105"/>
      <c r="B854" s="105"/>
      <c r="C854" s="106"/>
      <c r="D854" s="105"/>
      <c r="E854" s="105"/>
      <c r="F854" s="105"/>
      <c r="G854" s="105"/>
      <c r="H854" s="106"/>
      <c r="I854" s="107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4.25" customHeight="1">
      <c r="A855" s="105"/>
      <c r="B855" s="105"/>
      <c r="C855" s="106"/>
      <c r="D855" s="105"/>
      <c r="E855" s="105"/>
      <c r="F855" s="105"/>
      <c r="G855" s="105"/>
      <c r="H855" s="106"/>
      <c r="I855" s="107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4.25" customHeight="1">
      <c r="A856" s="105"/>
      <c r="B856" s="105"/>
      <c r="C856" s="106"/>
      <c r="D856" s="105"/>
      <c r="E856" s="105"/>
      <c r="F856" s="105"/>
      <c r="G856" s="105"/>
      <c r="H856" s="106"/>
      <c r="I856" s="107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4.25" customHeight="1">
      <c r="A857" s="105"/>
      <c r="B857" s="105"/>
      <c r="C857" s="106"/>
      <c r="D857" s="105"/>
      <c r="E857" s="105"/>
      <c r="F857" s="105"/>
      <c r="G857" s="105"/>
      <c r="H857" s="106"/>
      <c r="I857" s="107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4.25" customHeight="1">
      <c r="A858" s="105"/>
      <c r="B858" s="105"/>
      <c r="C858" s="106"/>
      <c r="D858" s="105"/>
      <c r="E858" s="105"/>
      <c r="F858" s="105"/>
      <c r="G858" s="105"/>
      <c r="H858" s="106"/>
      <c r="I858" s="107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4.25" customHeight="1">
      <c r="A859" s="105"/>
      <c r="B859" s="105"/>
      <c r="C859" s="106"/>
      <c r="D859" s="105"/>
      <c r="E859" s="105"/>
      <c r="F859" s="105"/>
      <c r="G859" s="105"/>
      <c r="H859" s="106"/>
      <c r="I859" s="107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4.25" customHeight="1">
      <c r="A860" s="105"/>
      <c r="B860" s="105"/>
      <c r="C860" s="106"/>
      <c r="D860" s="105"/>
      <c r="E860" s="105"/>
      <c r="F860" s="105"/>
      <c r="G860" s="105"/>
      <c r="H860" s="106"/>
      <c r="I860" s="107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4.25" customHeight="1">
      <c r="A861" s="105"/>
      <c r="B861" s="105"/>
      <c r="C861" s="106"/>
      <c r="D861" s="105"/>
      <c r="E861" s="105"/>
      <c r="F861" s="105"/>
      <c r="G861" s="105"/>
      <c r="H861" s="106"/>
      <c r="I861" s="107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4.25" customHeight="1">
      <c r="A862" s="105"/>
      <c r="B862" s="105"/>
      <c r="C862" s="106"/>
      <c r="D862" s="105"/>
      <c r="E862" s="105"/>
      <c r="F862" s="105"/>
      <c r="G862" s="105"/>
      <c r="H862" s="106"/>
      <c r="I862" s="107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4.25" customHeight="1">
      <c r="A863" s="105"/>
      <c r="B863" s="105"/>
      <c r="C863" s="106"/>
      <c r="D863" s="105"/>
      <c r="E863" s="105"/>
      <c r="F863" s="105"/>
      <c r="G863" s="105"/>
      <c r="H863" s="106"/>
      <c r="I863" s="107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4.25" customHeight="1">
      <c r="A864" s="105"/>
      <c r="B864" s="105"/>
      <c r="C864" s="106"/>
      <c r="D864" s="105"/>
      <c r="E864" s="105"/>
      <c r="F864" s="105"/>
      <c r="G864" s="105"/>
      <c r="H864" s="106"/>
      <c r="I864" s="107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4.25" customHeight="1">
      <c r="A865" s="105"/>
      <c r="B865" s="105"/>
      <c r="C865" s="106"/>
      <c r="D865" s="105"/>
      <c r="E865" s="105"/>
      <c r="F865" s="105"/>
      <c r="G865" s="105"/>
      <c r="H865" s="106"/>
      <c r="I865" s="107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4.25" customHeight="1">
      <c r="A866" s="105"/>
      <c r="B866" s="105"/>
      <c r="C866" s="106"/>
      <c r="D866" s="105"/>
      <c r="E866" s="105"/>
      <c r="F866" s="105"/>
      <c r="G866" s="105"/>
      <c r="H866" s="106"/>
      <c r="I866" s="107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4.25" customHeight="1">
      <c r="A867" s="105"/>
      <c r="B867" s="105"/>
      <c r="C867" s="106"/>
      <c r="D867" s="105"/>
      <c r="E867" s="105"/>
      <c r="F867" s="105"/>
      <c r="G867" s="105"/>
      <c r="H867" s="106"/>
      <c r="I867" s="107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4.25" customHeight="1">
      <c r="A868" s="105"/>
      <c r="B868" s="105"/>
      <c r="C868" s="106"/>
      <c r="D868" s="105"/>
      <c r="E868" s="105"/>
      <c r="F868" s="105"/>
      <c r="G868" s="105"/>
      <c r="H868" s="106"/>
      <c r="I868" s="107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4.25" customHeight="1">
      <c r="A869" s="105"/>
      <c r="B869" s="105"/>
      <c r="C869" s="106"/>
      <c r="D869" s="105"/>
      <c r="E869" s="105"/>
      <c r="F869" s="105"/>
      <c r="G869" s="105"/>
      <c r="H869" s="106"/>
      <c r="I869" s="107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4.25" customHeight="1">
      <c r="A870" s="105"/>
      <c r="B870" s="105"/>
      <c r="C870" s="106"/>
      <c r="D870" s="105"/>
      <c r="E870" s="105"/>
      <c r="F870" s="105"/>
      <c r="G870" s="105"/>
      <c r="H870" s="106"/>
      <c r="I870" s="107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4.25" customHeight="1">
      <c r="A871" s="105"/>
      <c r="B871" s="105"/>
      <c r="C871" s="106"/>
      <c r="D871" s="105"/>
      <c r="E871" s="105"/>
      <c r="F871" s="105"/>
      <c r="G871" s="105"/>
      <c r="H871" s="106"/>
      <c r="I871" s="107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4.25" customHeight="1">
      <c r="A872" s="105"/>
      <c r="B872" s="105"/>
      <c r="C872" s="106"/>
      <c r="D872" s="105"/>
      <c r="E872" s="105"/>
      <c r="F872" s="105"/>
      <c r="G872" s="105"/>
      <c r="H872" s="106"/>
      <c r="I872" s="107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4.25" customHeight="1">
      <c r="A873" s="105"/>
      <c r="B873" s="105"/>
      <c r="C873" s="106"/>
      <c r="D873" s="105"/>
      <c r="E873" s="105"/>
      <c r="F873" s="105"/>
      <c r="G873" s="105"/>
      <c r="H873" s="106"/>
      <c r="I873" s="107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4.25" customHeight="1">
      <c r="A874" s="105"/>
      <c r="B874" s="105"/>
      <c r="C874" s="106"/>
      <c r="D874" s="105"/>
      <c r="E874" s="105"/>
      <c r="F874" s="105"/>
      <c r="G874" s="105"/>
      <c r="H874" s="106"/>
      <c r="I874" s="107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4.25" customHeight="1">
      <c r="A875" s="105"/>
      <c r="B875" s="105"/>
      <c r="C875" s="106"/>
      <c r="D875" s="105"/>
      <c r="E875" s="105"/>
      <c r="F875" s="105"/>
      <c r="G875" s="105"/>
      <c r="H875" s="106"/>
      <c r="I875" s="107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4.25" customHeight="1">
      <c r="A876" s="105"/>
      <c r="B876" s="105"/>
      <c r="C876" s="106"/>
      <c r="D876" s="105"/>
      <c r="E876" s="105"/>
      <c r="F876" s="105"/>
      <c r="G876" s="105"/>
      <c r="H876" s="106"/>
      <c r="I876" s="107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4.25" customHeight="1">
      <c r="A877" s="105"/>
      <c r="B877" s="105"/>
      <c r="C877" s="106"/>
      <c r="D877" s="105"/>
      <c r="E877" s="105"/>
      <c r="F877" s="105"/>
      <c r="G877" s="105"/>
      <c r="H877" s="106"/>
      <c r="I877" s="107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4.25" customHeight="1">
      <c r="A878" s="105"/>
      <c r="B878" s="105"/>
      <c r="C878" s="106"/>
      <c r="D878" s="105"/>
      <c r="E878" s="105"/>
      <c r="F878" s="105"/>
      <c r="G878" s="105"/>
      <c r="H878" s="106"/>
      <c r="I878" s="107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4.25" customHeight="1">
      <c r="A879" s="105"/>
      <c r="B879" s="105"/>
      <c r="C879" s="106"/>
      <c r="D879" s="105"/>
      <c r="E879" s="105"/>
      <c r="F879" s="105"/>
      <c r="G879" s="105"/>
      <c r="H879" s="106"/>
      <c r="I879" s="107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4.25" customHeight="1">
      <c r="A880" s="105"/>
      <c r="B880" s="105"/>
      <c r="C880" s="106"/>
      <c r="D880" s="105"/>
      <c r="E880" s="105"/>
      <c r="F880" s="105"/>
      <c r="G880" s="105"/>
      <c r="H880" s="106"/>
      <c r="I880" s="107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4.25" customHeight="1">
      <c r="A881" s="105"/>
      <c r="B881" s="105"/>
      <c r="C881" s="106"/>
      <c r="D881" s="105"/>
      <c r="E881" s="105"/>
      <c r="F881" s="105"/>
      <c r="G881" s="105"/>
      <c r="H881" s="106"/>
      <c r="I881" s="107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4.25" customHeight="1">
      <c r="A882" s="105"/>
      <c r="B882" s="105"/>
      <c r="C882" s="106"/>
      <c r="D882" s="105"/>
      <c r="E882" s="105"/>
      <c r="F882" s="105"/>
      <c r="G882" s="105"/>
      <c r="H882" s="106"/>
      <c r="I882" s="107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4.25" customHeight="1">
      <c r="A883" s="105"/>
      <c r="B883" s="105"/>
      <c r="C883" s="106"/>
      <c r="D883" s="105"/>
      <c r="E883" s="105"/>
      <c r="F883" s="105"/>
      <c r="G883" s="105"/>
      <c r="H883" s="106"/>
      <c r="I883" s="107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4.25" customHeight="1">
      <c r="A884" s="105"/>
      <c r="B884" s="105"/>
      <c r="C884" s="106"/>
      <c r="D884" s="105"/>
      <c r="E884" s="105"/>
      <c r="F884" s="105"/>
      <c r="G884" s="105"/>
      <c r="H884" s="106"/>
      <c r="I884" s="107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4.25" customHeight="1">
      <c r="A885" s="105"/>
      <c r="B885" s="105"/>
      <c r="C885" s="106"/>
      <c r="D885" s="105"/>
      <c r="E885" s="105"/>
      <c r="F885" s="105"/>
      <c r="G885" s="105"/>
      <c r="H885" s="106"/>
      <c r="I885" s="107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4.25" customHeight="1">
      <c r="A886" s="105"/>
      <c r="B886" s="105"/>
      <c r="C886" s="106"/>
      <c r="D886" s="105"/>
      <c r="E886" s="105"/>
      <c r="F886" s="105"/>
      <c r="G886" s="105"/>
      <c r="H886" s="106"/>
      <c r="I886" s="107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4.25" customHeight="1">
      <c r="A887" s="105"/>
      <c r="B887" s="105"/>
      <c r="C887" s="106"/>
      <c r="D887" s="105"/>
      <c r="E887" s="105"/>
      <c r="F887" s="105"/>
      <c r="G887" s="105"/>
      <c r="H887" s="106"/>
      <c r="I887" s="107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4.25" customHeight="1">
      <c r="A888" s="105"/>
      <c r="B888" s="105"/>
      <c r="C888" s="106"/>
      <c r="D888" s="105"/>
      <c r="E888" s="105"/>
      <c r="F888" s="105"/>
      <c r="G888" s="105"/>
      <c r="H888" s="106"/>
      <c r="I888" s="107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4.25" customHeight="1">
      <c r="A889" s="105"/>
      <c r="B889" s="105"/>
      <c r="C889" s="106"/>
      <c r="D889" s="105"/>
      <c r="E889" s="105"/>
      <c r="F889" s="105"/>
      <c r="G889" s="105"/>
      <c r="H889" s="106"/>
      <c r="I889" s="107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4.25" customHeight="1">
      <c r="A890" s="105"/>
      <c r="B890" s="105"/>
      <c r="C890" s="106"/>
      <c r="D890" s="105"/>
      <c r="E890" s="105"/>
      <c r="F890" s="105"/>
      <c r="G890" s="105"/>
      <c r="H890" s="106"/>
      <c r="I890" s="107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4.25" customHeight="1">
      <c r="A891" s="105"/>
      <c r="B891" s="105"/>
      <c r="C891" s="106"/>
      <c r="D891" s="105"/>
      <c r="E891" s="105"/>
      <c r="F891" s="105"/>
      <c r="G891" s="105"/>
      <c r="H891" s="106"/>
      <c r="I891" s="107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4.25" customHeight="1">
      <c r="A892" s="105"/>
      <c r="B892" s="105"/>
      <c r="C892" s="106"/>
      <c r="D892" s="105"/>
      <c r="E892" s="105"/>
      <c r="F892" s="105"/>
      <c r="G892" s="105"/>
      <c r="H892" s="106"/>
      <c r="I892" s="107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4.25" customHeight="1">
      <c r="A893" s="105"/>
      <c r="B893" s="105"/>
      <c r="C893" s="106"/>
      <c r="D893" s="105"/>
      <c r="E893" s="105"/>
      <c r="F893" s="105"/>
      <c r="G893" s="105"/>
      <c r="H893" s="106"/>
      <c r="I893" s="107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4.25" customHeight="1">
      <c r="A894" s="105"/>
      <c r="B894" s="105"/>
      <c r="C894" s="106"/>
      <c r="D894" s="105"/>
      <c r="E894" s="105"/>
      <c r="F894" s="105"/>
      <c r="G894" s="105"/>
      <c r="H894" s="106"/>
      <c r="I894" s="107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4.25" customHeight="1">
      <c r="A895" s="105"/>
      <c r="B895" s="105"/>
      <c r="C895" s="106"/>
      <c r="D895" s="105"/>
      <c r="E895" s="105"/>
      <c r="F895" s="105"/>
      <c r="G895" s="105"/>
      <c r="H895" s="106"/>
      <c r="I895" s="107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4.25" customHeight="1">
      <c r="A896" s="105"/>
      <c r="B896" s="105"/>
      <c r="C896" s="106"/>
      <c r="D896" s="105"/>
      <c r="E896" s="105"/>
      <c r="F896" s="105"/>
      <c r="G896" s="105"/>
      <c r="H896" s="106"/>
      <c r="I896" s="107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4.25" customHeight="1">
      <c r="A897" s="105"/>
      <c r="B897" s="105"/>
      <c r="C897" s="106"/>
      <c r="D897" s="105"/>
      <c r="E897" s="105"/>
      <c r="F897" s="105"/>
      <c r="G897" s="105"/>
      <c r="H897" s="106"/>
      <c r="I897" s="107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4.25" customHeight="1">
      <c r="A898" s="105"/>
      <c r="B898" s="105"/>
      <c r="C898" s="106"/>
      <c r="D898" s="105"/>
      <c r="E898" s="105"/>
      <c r="F898" s="105"/>
      <c r="G898" s="105"/>
      <c r="H898" s="106"/>
      <c r="I898" s="107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4.25" customHeight="1">
      <c r="A899" s="105"/>
      <c r="B899" s="105"/>
      <c r="C899" s="106"/>
      <c r="D899" s="105"/>
      <c r="E899" s="105"/>
      <c r="F899" s="105"/>
      <c r="G899" s="105"/>
      <c r="H899" s="106"/>
      <c r="I899" s="107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4.25" customHeight="1">
      <c r="A900" s="105"/>
      <c r="B900" s="105"/>
      <c r="C900" s="106"/>
      <c r="D900" s="105"/>
      <c r="E900" s="105"/>
      <c r="F900" s="105"/>
      <c r="G900" s="105"/>
      <c r="H900" s="106"/>
      <c r="I900" s="107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4.25" customHeight="1">
      <c r="A901" s="105"/>
      <c r="B901" s="105"/>
      <c r="C901" s="106"/>
      <c r="D901" s="105"/>
      <c r="E901" s="105"/>
      <c r="F901" s="105"/>
      <c r="G901" s="105"/>
      <c r="H901" s="106"/>
      <c r="I901" s="107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4.25" customHeight="1">
      <c r="A902" s="105"/>
      <c r="B902" s="105"/>
      <c r="C902" s="106"/>
      <c r="D902" s="105"/>
      <c r="E902" s="105"/>
      <c r="F902" s="105"/>
      <c r="G902" s="105"/>
      <c r="H902" s="106"/>
      <c r="I902" s="107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4.25" customHeight="1">
      <c r="A903" s="105"/>
      <c r="B903" s="105"/>
      <c r="C903" s="106"/>
      <c r="D903" s="105"/>
      <c r="E903" s="105"/>
      <c r="F903" s="105"/>
      <c r="G903" s="105"/>
      <c r="H903" s="106"/>
      <c r="I903" s="107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4.25" customHeight="1">
      <c r="A904" s="105"/>
      <c r="B904" s="105"/>
      <c r="C904" s="106"/>
      <c r="D904" s="105"/>
      <c r="E904" s="105"/>
      <c r="F904" s="105"/>
      <c r="G904" s="105"/>
      <c r="H904" s="106"/>
      <c r="I904" s="107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4.25" customHeight="1">
      <c r="A905" s="105"/>
      <c r="B905" s="105"/>
      <c r="C905" s="106"/>
      <c r="D905" s="105"/>
      <c r="E905" s="105"/>
      <c r="F905" s="105"/>
      <c r="G905" s="105"/>
      <c r="H905" s="106"/>
      <c r="I905" s="107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4.25" customHeight="1">
      <c r="A906" s="105"/>
      <c r="B906" s="105"/>
      <c r="C906" s="106"/>
      <c r="D906" s="105"/>
      <c r="E906" s="105"/>
      <c r="F906" s="105"/>
      <c r="G906" s="105"/>
      <c r="H906" s="106"/>
      <c r="I906" s="107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4.25" customHeight="1">
      <c r="A907" s="105"/>
      <c r="B907" s="105"/>
      <c r="C907" s="106"/>
      <c r="D907" s="105"/>
      <c r="E907" s="105"/>
      <c r="F907" s="105"/>
      <c r="G907" s="105"/>
      <c r="H907" s="106"/>
      <c r="I907" s="107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4.25" customHeight="1">
      <c r="A908" s="105"/>
      <c r="B908" s="105"/>
      <c r="C908" s="106"/>
      <c r="D908" s="105"/>
      <c r="E908" s="105"/>
      <c r="F908" s="105"/>
      <c r="G908" s="105"/>
      <c r="H908" s="106"/>
      <c r="I908" s="107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4.25" customHeight="1">
      <c r="A909" s="105"/>
      <c r="B909" s="105"/>
      <c r="C909" s="106"/>
      <c r="D909" s="105"/>
      <c r="E909" s="105"/>
      <c r="F909" s="105"/>
      <c r="G909" s="105"/>
      <c r="H909" s="106"/>
      <c r="I909" s="107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4.25" customHeight="1">
      <c r="A910" s="105"/>
      <c r="B910" s="105"/>
      <c r="C910" s="106"/>
      <c r="D910" s="105"/>
      <c r="E910" s="105"/>
      <c r="F910" s="105"/>
      <c r="G910" s="105"/>
      <c r="H910" s="106"/>
      <c r="I910" s="107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4.25" customHeight="1">
      <c r="A911" s="105"/>
      <c r="B911" s="105"/>
      <c r="C911" s="106"/>
      <c r="D911" s="105"/>
      <c r="E911" s="105"/>
      <c r="F911" s="105"/>
      <c r="G911" s="105"/>
      <c r="H911" s="106"/>
      <c r="I911" s="107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4.25" customHeight="1">
      <c r="A912" s="105"/>
      <c r="B912" s="105"/>
      <c r="C912" s="106"/>
      <c r="D912" s="105"/>
      <c r="E912" s="105"/>
      <c r="F912" s="105"/>
      <c r="G912" s="105"/>
      <c r="H912" s="106"/>
      <c r="I912" s="107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4.25" customHeight="1">
      <c r="A913" s="105"/>
      <c r="B913" s="105"/>
      <c r="C913" s="106"/>
      <c r="D913" s="105"/>
      <c r="E913" s="105"/>
      <c r="F913" s="105"/>
      <c r="G913" s="105"/>
      <c r="H913" s="106"/>
      <c r="I913" s="107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4.25" customHeight="1">
      <c r="A914" s="105"/>
      <c r="B914" s="105"/>
      <c r="C914" s="106"/>
      <c r="D914" s="105"/>
      <c r="E914" s="105"/>
      <c r="F914" s="105"/>
      <c r="G914" s="105"/>
      <c r="H914" s="106"/>
      <c r="I914" s="107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4.25" customHeight="1">
      <c r="A915" s="105"/>
      <c r="B915" s="105"/>
      <c r="C915" s="106"/>
      <c r="D915" s="105"/>
      <c r="E915" s="105"/>
      <c r="F915" s="105"/>
      <c r="G915" s="105"/>
      <c r="H915" s="106"/>
      <c r="I915" s="107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4.25" customHeight="1">
      <c r="A916" s="105"/>
      <c r="B916" s="105"/>
      <c r="C916" s="106"/>
      <c r="D916" s="105"/>
      <c r="E916" s="105"/>
      <c r="F916" s="105"/>
      <c r="G916" s="105"/>
      <c r="H916" s="106"/>
      <c r="I916" s="107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4.25" customHeight="1">
      <c r="A917" s="105"/>
      <c r="B917" s="105"/>
      <c r="C917" s="106"/>
      <c r="D917" s="105"/>
      <c r="E917" s="105"/>
      <c r="F917" s="105"/>
      <c r="G917" s="105"/>
      <c r="H917" s="106"/>
      <c r="I917" s="107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4.25" customHeight="1">
      <c r="A918" s="105"/>
      <c r="B918" s="105"/>
      <c r="C918" s="106"/>
      <c r="D918" s="105"/>
      <c r="E918" s="105"/>
      <c r="F918" s="105"/>
      <c r="G918" s="105"/>
      <c r="H918" s="106"/>
      <c r="I918" s="107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4.25" customHeight="1">
      <c r="A919" s="105"/>
      <c r="B919" s="105"/>
      <c r="C919" s="106"/>
      <c r="D919" s="105"/>
      <c r="E919" s="105"/>
      <c r="F919" s="105"/>
      <c r="G919" s="105"/>
      <c r="H919" s="106"/>
      <c r="I919" s="107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4.25" customHeight="1">
      <c r="A920" s="105"/>
      <c r="B920" s="105"/>
      <c r="C920" s="106"/>
      <c r="D920" s="105"/>
      <c r="E920" s="105"/>
      <c r="F920" s="105"/>
      <c r="G920" s="105"/>
      <c r="H920" s="106"/>
      <c r="I920" s="107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4.25" customHeight="1">
      <c r="A921" s="105"/>
      <c r="B921" s="105"/>
      <c r="C921" s="106"/>
      <c r="D921" s="105"/>
      <c r="E921" s="105"/>
      <c r="F921" s="105"/>
      <c r="G921" s="105"/>
      <c r="H921" s="106"/>
      <c r="I921" s="107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4.25" customHeight="1">
      <c r="A922" s="105"/>
      <c r="B922" s="105"/>
      <c r="C922" s="106"/>
      <c r="D922" s="105"/>
      <c r="E922" s="105"/>
      <c r="F922" s="105"/>
      <c r="G922" s="105"/>
      <c r="H922" s="106"/>
      <c r="I922" s="107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4.25" customHeight="1">
      <c r="A923" s="105"/>
      <c r="B923" s="105"/>
      <c r="C923" s="106"/>
      <c r="D923" s="105"/>
      <c r="E923" s="105"/>
      <c r="F923" s="105"/>
      <c r="G923" s="105"/>
      <c r="H923" s="106"/>
      <c r="I923" s="107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4.25" customHeight="1">
      <c r="A924" s="105"/>
      <c r="B924" s="105"/>
      <c r="C924" s="106"/>
      <c r="D924" s="105"/>
      <c r="E924" s="105"/>
      <c r="F924" s="105"/>
      <c r="G924" s="105"/>
      <c r="H924" s="106"/>
      <c r="I924" s="107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4.25" customHeight="1">
      <c r="A925" s="105"/>
      <c r="B925" s="105"/>
      <c r="C925" s="106"/>
      <c r="D925" s="105"/>
      <c r="E925" s="105"/>
      <c r="F925" s="105"/>
      <c r="G925" s="105"/>
      <c r="H925" s="106"/>
      <c r="I925" s="107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4.25" customHeight="1">
      <c r="A926" s="105"/>
      <c r="B926" s="105"/>
      <c r="C926" s="106"/>
      <c r="D926" s="105"/>
      <c r="E926" s="105"/>
      <c r="F926" s="105"/>
      <c r="G926" s="105"/>
      <c r="H926" s="106"/>
      <c r="I926" s="107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4.25" customHeight="1">
      <c r="A927" s="105"/>
      <c r="B927" s="105"/>
      <c r="C927" s="106"/>
      <c r="D927" s="105"/>
      <c r="E927" s="105"/>
      <c r="F927" s="105"/>
      <c r="G927" s="105"/>
      <c r="H927" s="106"/>
      <c r="I927" s="107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4.25" customHeight="1">
      <c r="A928" s="105"/>
      <c r="B928" s="105"/>
      <c r="C928" s="106"/>
      <c r="D928" s="105"/>
      <c r="E928" s="105"/>
      <c r="F928" s="105"/>
      <c r="G928" s="105"/>
      <c r="H928" s="106"/>
      <c r="I928" s="107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4.25" customHeight="1">
      <c r="A929" s="105"/>
      <c r="B929" s="105"/>
      <c r="C929" s="106"/>
      <c r="D929" s="105"/>
      <c r="E929" s="105"/>
      <c r="F929" s="105"/>
      <c r="G929" s="105"/>
      <c r="H929" s="106"/>
      <c r="I929" s="107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4.25" customHeight="1">
      <c r="A930" s="105"/>
      <c r="B930" s="105"/>
      <c r="C930" s="106"/>
      <c r="D930" s="105"/>
      <c r="E930" s="105"/>
      <c r="F930" s="105"/>
      <c r="G930" s="105"/>
      <c r="H930" s="106"/>
      <c r="I930" s="107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4.25" customHeight="1">
      <c r="A931" s="105"/>
      <c r="B931" s="105"/>
      <c r="C931" s="106"/>
      <c r="D931" s="105"/>
      <c r="E931" s="105"/>
      <c r="F931" s="105"/>
      <c r="G931" s="105"/>
      <c r="H931" s="106"/>
      <c r="I931" s="107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4.25" customHeight="1">
      <c r="A932" s="105"/>
      <c r="B932" s="105"/>
      <c r="C932" s="106"/>
      <c r="D932" s="105"/>
      <c r="E932" s="105"/>
      <c r="F932" s="105"/>
      <c r="G932" s="105"/>
      <c r="H932" s="106"/>
      <c r="I932" s="107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4.25" customHeight="1">
      <c r="A933" s="105"/>
      <c r="B933" s="105"/>
      <c r="C933" s="106"/>
      <c r="D933" s="105"/>
      <c r="E933" s="105"/>
      <c r="F933" s="105"/>
      <c r="G933" s="105"/>
      <c r="H933" s="106"/>
      <c r="I933" s="107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4.25" customHeight="1">
      <c r="A934" s="105"/>
      <c r="B934" s="105"/>
      <c r="C934" s="106"/>
      <c r="D934" s="105"/>
      <c r="E934" s="105"/>
      <c r="F934" s="105"/>
      <c r="G934" s="105"/>
      <c r="H934" s="106"/>
      <c r="I934" s="107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4.25" customHeight="1">
      <c r="A935" s="105"/>
      <c r="B935" s="105"/>
      <c r="C935" s="106"/>
      <c r="D935" s="105"/>
      <c r="E935" s="105"/>
      <c r="F935" s="105"/>
      <c r="G935" s="105"/>
      <c r="H935" s="106"/>
      <c r="I935" s="107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4.25" customHeight="1">
      <c r="A936" s="105"/>
      <c r="B936" s="105"/>
      <c r="C936" s="106"/>
      <c r="D936" s="105"/>
      <c r="E936" s="105"/>
      <c r="F936" s="105"/>
      <c r="G936" s="105"/>
      <c r="H936" s="106"/>
      <c r="I936" s="107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4.25" customHeight="1">
      <c r="A937" s="105"/>
      <c r="B937" s="105"/>
      <c r="C937" s="106"/>
      <c r="D937" s="105"/>
      <c r="E937" s="105"/>
      <c r="F937" s="105"/>
      <c r="G937" s="105"/>
      <c r="H937" s="106"/>
      <c r="I937" s="107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4.25" customHeight="1">
      <c r="A938" s="105"/>
      <c r="B938" s="105"/>
      <c r="C938" s="106"/>
      <c r="D938" s="105"/>
      <c r="E938" s="105"/>
      <c r="F938" s="105"/>
      <c r="G938" s="105"/>
      <c r="H938" s="106"/>
      <c r="I938" s="107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4.25" customHeight="1">
      <c r="A939" s="105"/>
      <c r="B939" s="105"/>
      <c r="C939" s="106"/>
      <c r="D939" s="105"/>
      <c r="E939" s="105"/>
      <c r="F939" s="105"/>
      <c r="G939" s="105"/>
      <c r="H939" s="106"/>
      <c r="I939" s="107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4.25" customHeight="1">
      <c r="A940" s="105"/>
      <c r="B940" s="105"/>
      <c r="C940" s="106"/>
      <c r="D940" s="105"/>
      <c r="E940" s="105"/>
      <c r="F940" s="105"/>
      <c r="G940" s="105"/>
      <c r="H940" s="106"/>
      <c r="I940" s="107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4.25" customHeight="1">
      <c r="A941" s="105"/>
      <c r="B941" s="105"/>
      <c r="C941" s="106"/>
      <c r="D941" s="105"/>
      <c r="E941" s="105"/>
      <c r="F941" s="105"/>
      <c r="G941" s="105"/>
      <c r="H941" s="106"/>
      <c r="I941" s="107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4.25" customHeight="1">
      <c r="A942" s="105"/>
      <c r="B942" s="105"/>
      <c r="C942" s="106"/>
      <c r="D942" s="105"/>
      <c r="E942" s="105"/>
      <c r="F942" s="105"/>
      <c r="G942" s="105"/>
      <c r="H942" s="106"/>
      <c r="I942" s="107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4.25" customHeight="1">
      <c r="A943" s="105"/>
      <c r="B943" s="105"/>
      <c r="C943" s="106"/>
      <c r="D943" s="105"/>
      <c r="E943" s="105"/>
      <c r="F943" s="105"/>
      <c r="G943" s="105"/>
      <c r="H943" s="106"/>
      <c r="I943" s="107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4.25" customHeight="1">
      <c r="A944" s="105"/>
      <c r="B944" s="105"/>
      <c r="C944" s="106"/>
      <c r="D944" s="105"/>
      <c r="E944" s="105"/>
      <c r="F944" s="105"/>
      <c r="G944" s="105"/>
      <c r="H944" s="106"/>
      <c r="I944" s="107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4.25" customHeight="1">
      <c r="A945" s="105"/>
      <c r="B945" s="105"/>
      <c r="C945" s="106"/>
      <c r="D945" s="105"/>
      <c r="E945" s="105"/>
      <c r="F945" s="105"/>
      <c r="G945" s="105"/>
      <c r="H945" s="106"/>
      <c r="I945" s="107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4.25" customHeight="1">
      <c r="A946" s="105"/>
      <c r="B946" s="105"/>
      <c r="C946" s="106"/>
      <c r="D946" s="105"/>
      <c r="E946" s="105"/>
      <c r="F946" s="105"/>
      <c r="G946" s="105"/>
      <c r="H946" s="106"/>
      <c r="I946" s="107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4.25" customHeight="1">
      <c r="A947" s="105"/>
      <c r="B947" s="105"/>
      <c r="C947" s="106"/>
      <c r="D947" s="105"/>
      <c r="E947" s="105"/>
      <c r="F947" s="105"/>
      <c r="G947" s="105"/>
      <c r="H947" s="106"/>
      <c r="I947" s="107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4.25" customHeight="1">
      <c r="A948" s="105"/>
      <c r="B948" s="105"/>
      <c r="C948" s="106"/>
      <c r="D948" s="105"/>
      <c r="E948" s="105"/>
      <c r="F948" s="105"/>
      <c r="G948" s="105"/>
      <c r="H948" s="106"/>
      <c r="I948" s="107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4.25" customHeight="1">
      <c r="A949" s="105"/>
      <c r="B949" s="105"/>
      <c r="C949" s="106"/>
      <c r="D949" s="105"/>
      <c r="E949" s="105"/>
      <c r="F949" s="105"/>
      <c r="G949" s="105"/>
      <c r="H949" s="106"/>
      <c r="I949" s="107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4.25" customHeight="1">
      <c r="A950" s="105"/>
      <c r="B950" s="105"/>
      <c r="C950" s="106"/>
      <c r="D950" s="105"/>
      <c r="E950" s="105"/>
      <c r="F950" s="105"/>
      <c r="G950" s="105"/>
      <c r="H950" s="106"/>
      <c r="I950" s="107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4.25" customHeight="1">
      <c r="A951" s="105"/>
      <c r="B951" s="105"/>
      <c r="C951" s="106"/>
      <c r="D951" s="105"/>
      <c r="E951" s="105"/>
      <c r="F951" s="105"/>
      <c r="G951" s="105"/>
      <c r="H951" s="106"/>
      <c r="I951" s="107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4.25" customHeight="1">
      <c r="A952" s="105"/>
      <c r="B952" s="105"/>
      <c r="C952" s="106"/>
      <c r="D952" s="105"/>
      <c r="E952" s="105"/>
      <c r="F952" s="105"/>
      <c r="G952" s="105"/>
      <c r="H952" s="106"/>
      <c r="I952" s="107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4.25" customHeight="1">
      <c r="A953" s="105"/>
      <c r="B953" s="105"/>
      <c r="C953" s="106"/>
      <c r="D953" s="105"/>
      <c r="E953" s="105"/>
      <c r="F953" s="105"/>
      <c r="G953" s="105"/>
      <c r="H953" s="106"/>
      <c r="I953" s="107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4.25" customHeight="1">
      <c r="A954" s="105"/>
      <c r="B954" s="105"/>
      <c r="C954" s="106"/>
      <c r="D954" s="105"/>
      <c r="E954" s="105"/>
      <c r="F954" s="105"/>
      <c r="G954" s="105"/>
      <c r="H954" s="106"/>
      <c r="I954" s="107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4.25" customHeight="1">
      <c r="A955" s="105"/>
      <c r="B955" s="105"/>
      <c r="C955" s="106"/>
      <c r="D955" s="105"/>
      <c r="E955" s="105"/>
      <c r="F955" s="105"/>
      <c r="G955" s="105"/>
      <c r="H955" s="106"/>
      <c r="I955" s="107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4.25" customHeight="1">
      <c r="A956" s="105"/>
      <c r="B956" s="105"/>
      <c r="C956" s="106"/>
      <c r="D956" s="105"/>
      <c r="E956" s="105"/>
      <c r="F956" s="105"/>
      <c r="G956" s="105"/>
      <c r="H956" s="106"/>
      <c r="I956" s="107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4.25" customHeight="1">
      <c r="A957" s="105"/>
      <c r="B957" s="105"/>
      <c r="C957" s="106"/>
      <c r="D957" s="105"/>
      <c r="E957" s="105"/>
      <c r="F957" s="105"/>
      <c r="G957" s="105"/>
      <c r="H957" s="106"/>
      <c r="I957" s="107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4.25" customHeight="1">
      <c r="A958" s="105"/>
      <c r="B958" s="105"/>
      <c r="C958" s="106"/>
      <c r="D958" s="105"/>
      <c r="E958" s="105"/>
      <c r="F958" s="105"/>
      <c r="G958" s="105"/>
      <c r="H958" s="106"/>
      <c r="I958" s="107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4.25" customHeight="1">
      <c r="A959" s="105"/>
      <c r="B959" s="105"/>
      <c r="C959" s="106"/>
      <c r="D959" s="105"/>
      <c r="E959" s="105"/>
      <c r="F959" s="105"/>
      <c r="G959" s="105"/>
      <c r="H959" s="106"/>
      <c r="I959" s="107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4.25" customHeight="1">
      <c r="A960" s="105"/>
      <c r="B960" s="105"/>
      <c r="C960" s="106"/>
      <c r="D960" s="105"/>
      <c r="E960" s="105"/>
      <c r="F960" s="105"/>
      <c r="G960" s="105"/>
      <c r="H960" s="106"/>
      <c r="I960" s="107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4.25" customHeight="1">
      <c r="A961" s="105"/>
      <c r="B961" s="105"/>
      <c r="C961" s="106"/>
      <c r="D961" s="105"/>
      <c r="E961" s="105"/>
      <c r="F961" s="105"/>
      <c r="G961" s="105"/>
      <c r="H961" s="106"/>
      <c r="I961" s="107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4.25" customHeight="1">
      <c r="A962" s="105"/>
      <c r="B962" s="105"/>
      <c r="C962" s="106"/>
      <c r="D962" s="105"/>
      <c r="E962" s="105"/>
      <c r="F962" s="105"/>
      <c r="G962" s="105"/>
      <c r="H962" s="106"/>
      <c r="I962" s="107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4.25" customHeight="1">
      <c r="A963" s="105"/>
      <c r="B963" s="105"/>
      <c r="C963" s="106"/>
      <c r="D963" s="105"/>
      <c r="E963" s="105"/>
      <c r="F963" s="105"/>
      <c r="G963" s="105"/>
      <c r="H963" s="106"/>
      <c r="I963" s="107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4.25" customHeight="1">
      <c r="A964" s="105"/>
      <c r="B964" s="105"/>
      <c r="C964" s="106"/>
      <c r="D964" s="105"/>
      <c r="E964" s="105"/>
      <c r="F964" s="105"/>
      <c r="G964" s="105"/>
      <c r="H964" s="106"/>
      <c r="I964" s="107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4.25" customHeight="1">
      <c r="A965" s="105"/>
      <c r="B965" s="105"/>
      <c r="C965" s="106"/>
      <c r="D965" s="105"/>
      <c r="E965" s="105"/>
      <c r="F965" s="105"/>
      <c r="G965" s="105"/>
      <c r="H965" s="106"/>
      <c r="I965" s="107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4.25" customHeight="1">
      <c r="A966" s="105"/>
      <c r="B966" s="105"/>
      <c r="C966" s="106"/>
      <c r="D966" s="105"/>
      <c r="E966" s="105"/>
      <c r="F966" s="105"/>
      <c r="G966" s="105"/>
      <c r="H966" s="106"/>
      <c r="I966" s="107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4.25" customHeight="1">
      <c r="A967" s="105"/>
      <c r="B967" s="105"/>
      <c r="C967" s="106"/>
      <c r="D967" s="105"/>
      <c r="E967" s="105"/>
      <c r="F967" s="105"/>
      <c r="G967" s="105"/>
      <c r="H967" s="106"/>
      <c r="I967" s="107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4.25" customHeight="1">
      <c r="A968" s="105"/>
      <c r="B968" s="105"/>
      <c r="C968" s="106"/>
      <c r="D968" s="105"/>
      <c r="E968" s="105"/>
      <c r="F968" s="105"/>
      <c r="G968" s="105"/>
      <c r="H968" s="106"/>
      <c r="I968" s="107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4.25" customHeight="1">
      <c r="A969" s="105"/>
      <c r="B969" s="105"/>
      <c r="C969" s="106"/>
      <c r="D969" s="105"/>
      <c r="E969" s="105"/>
      <c r="F969" s="105"/>
      <c r="G969" s="105"/>
      <c r="H969" s="106"/>
      <c r="I969" s="107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4.25" customHeight="1">
      <c r="A970" s="105"/>
      <c r="B970" s="105"/>
      <c r="C970" s="106"/>
      <c r="D970" s="105"/>
      <c r="E970" s="105"/>
      <c r="F970" s="105"/>
      <c r="G970" s="105"/>
      <c r="H970" s="106"/>
      <c r="I970" s="107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4.25" customHeight="1">
      <c r="A971" s="105"/>
      <c r="B971" s="105"/>
      <c r="C971" s="106"/>
      <c r="D971" s="105"/>
      <c r="E971" s="105"/>
      <c r="F971" s="105"/>
      <c r="G971" s="105"/>
      <c r="H971" s="106"/>
      <c r="I971" s="107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4.25" customHeight="1">
      <c r="A972" s="105"/>
      <c r="B972" s="105"/>
      <c r="C972" s="106"/>
      <c r="D972" s="105"/>
      <c r="E972" s="105"/>
      <c r="F972" s="105"/>
      <c r="G972" s="105"/>
      <c r="H972" s="106"/>
      <c r="I972" s="107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4.25" customHeight="1">
      <c r="A973" s="105"/>
      <c r="B973" s="105"/>
      <c r="C973" s="106"/>
      <c r="D973" s="105"/>
      <c r="E973" s="105"/>
      <c r="F973" s="105"/>
      <c r="G973" s="105"/>
      <c r="H973" s="106"/>
      <c r="I973" s="107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4.25" customHeight="1">
      <c r="A974" s="105"/>
      <c r="B974" s="105"/>
      <c r="C974" s="106"/>
      <c r="D974" s="105"/>
      <c r="E974" s="105"/>
      <c r="F974" s="105"/>
      <c r="G974" s="105"/>
      <c r="H974" s="106"/>
      <c r="I974" s="107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4.25" customHeight="1">
      <c r="A975" s="105"/>
      <c r="B975" s="105"/>
      <c r="C975" s="106"/>
      <c r="D975" s="105"/>
      <c r="E975" s="105"/>
      <c r="F975" s="105"/>
      <c r="G975" s="105"/>
      <c r="H975" s="106"/>
      <c r="I975" s="107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4.25" customHeight="1">
      <c r="A976" s="105"/>
      <c r="B976" s="105"/>
      <c r="C976" s="106"/>
      <c r="D976" s="105"/>
      <c r="E976" s="105"/>
      <c r="F976" s="105"/>
      <c r="G976" s="105"/>
      <c r="H976" s="106"/>
      <c r="I976" s="107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4.25" customHeight="1">
      <c r="A977" s="105"/>
      <c r="B977" s="105"/>
      <c r="C977" s="106"/>
      <c r="D977" s="105"/>
      <c r="E977" s="105"/>
      <c r="F977" s="105"/>
      <c r="G977" s="105"/>
      <c r="H977" s="106"/>
      <c r="I977" s="107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4.25" customHeight="1">
      <c r="A978" s="105"/>
      <c r="B978" s="105"/>
      <c r="C978" s="106"/>
      <c r="D978" s="105"/>
      <c r="E978" s="105"/>
      <c r="F978" s="105"/>
      <c r="G978" s="105"/>
      <c r="H978" s="106"/>
      <c r="I978" s="107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4.25" customHeight="1">
      <c r="A979" s="105"/>
      <c r="B979" s="105"/>
      <c r="C979" s="106"/>
      <c r="D979" s="105"/>
      <c r="E979" s="105"/>
      <c r="F979" s="105"/>
      <c r="G979" s="105"/>
      <c r="H979" s="106"/>
      <c r="I979" s="107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4.25" customHeight="1">
      <c r="A980" s="105"/>
      <c r="B980" s="105"/>
      <c r="C980" s="106"/>
      <c r="D980" s="105"/>
      <c r="E980" s="105"/>
      <c r="F980" s="105"/>
      <c r="G980" s="105"/>
      <c r="H980" s="106"/>
      <c r="I980" s="107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4.25" customHeight="1">
      <c r="A981" s="105"/>
      <c r="B981" s="105"/>
      <c r="C981" s="106"/>
      <c r="D981" s="105"/>
      <c r="E981" s="105"/>
      <c r="F981" s="105"/>
      <c r="G981" s="105"/>
      <c r="H981" s="106"/>
      <c r="I981" s="107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4.25" customHeight="1">
      <c r="A982" s="105"/>
      <c r="B982" s="105"/>
      <c r="C982" s="106"/>
      <c r="D982" s="105"/>
      <c r="E982" s="105"/>
      <c r="F982" s="105"/>
      <c r="G982" s="105"/>
      <c r="H982" s="106"/>
      <c r="I982" s="107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4.25" customHeight="1">
      <c r="A983" s="105"/>
      <c r="B983" s="105"/>
      <c r="C983" s="106"/>
      <c r="D983" s="105"/>
      <c r="E983" s="105"/>
      <c r="F983" s="105"/>
      <c r="G983" s="105"/>
      <c r="H983" s="106"/>
      <c r="I983" s="107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4.25" customHeight="1">
      <c r="A984" s="105"/>
      <c r="B984" s="105"/>
      <c r="C984" s="106"/>
      <c r="D984" s="105"/>
      <c r="E984" s="105"/>
      <c r="F984" s="105"/>
      <c r="G984" s="105"/>
      <c r="H984" s="106"/>
      <c r="I984" s="107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4.25" customHeight="1">
      <c r="A985" s="105"/>
      <c r="B985" s="105"/>
      <c r="C985" s="106"/>
      <c r="D985" s="105"/>
      <c r="E985" s="105"/>
      <c r="F985" s="105"/>
      <c r="G985" s="105"/>
      <c r="H985" s="106"/>
      <c r="I985" s="107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4.25" customHeight="1">
      <c r="A986" s="105"/>
      <c r="B986" s="105"/>
      <c r="C986" s="106"/>
      <c r="D986" s="105"/>
      <c r="E986" s="105"/>
      <c r="F986" s="105"/>
      <c r="G986" s="105"/>
      <c r="H986" s="106"/>
      <c r="I986" s="107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4.25" customHeight="1">
      <c r="A987" s="105"/>
      <c r="B987" s="105"/>
      <c r="C987" s="106"/>
      <c r="D987" s="105"/>
      <c r="E987" s="105"/>
      <c r="F987" s="105"/>
      <c r="G987" s="105"/>
      <c r="H987" s="106"/>
      <c r="I987" s="107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4.25" customHeight="1">
      <c r="A988" s="105"/>
      <c r="B988" s="105"/>
      <c r="C988" s="106"/>
      <c r="D988" s="105"/>
      <c r="E988" s="105"/>
      <c r="F988" s="105"/>
      <c r="G988" s="105"/>
      <c r="H988" s="106"/>
      <c r="I988" s="107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4.25" customHeight="1">
      <c r="A989" s="105"/>
      <c r="B989" s="105"/>
      <c r="C989" s="106"/>
      <c r="D989" s="105"/>
      <c r="E989" s="105"/>
      <c r="F989" s="105"/>
      <c r="G989" s="105"/>
      <c r="H989" s="106"/>
      <c r="I989" s="107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4.25" customHeight="1">
      <c r="A990" s="105"/>
      <c r="B990" s="105"/>
      <c r="C990" s="106"/>
      <c r="D990" s="105"/>
      <c r="E990" s="105"/>
      <c r="F990" s="105"/>
      <c r="G990" s="105"/>
      <c r="H990" s="106"/>
      <c r="I990" s="107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4.25" customHeight="1">
      <c r="A991" s="105"/>
      <c r="B991" s="105"/>
      <c r="C991" s="106"/>
      <c r="D991" s="105"/>
      <c r="E991" s="105"/>
      <c r="F991" s="105"/>
      <c r="G991" s="105"/>
      <c r="H991" s="106"/>
      <c r="I991" s="107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4.25" customHeight="1">
      <c r="A992" s="105"/>
      <c r="B992" s="105"/>
      <c r="C992" s="106"/>
      <c r="D992" s="105"/>
      <c r="E992" s="105"/>
      <c r="F992" s="105"/>
      <c r="G992" s="105"/>
      <c r="H992" s="106"/>
      <c r="I992" s="107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4.25" customHeight="1">
      <c r="A993" s="105"/>
      <c r="B993" s="105"/>
      <c r="C993" s="106"/>
      <c r="D993" s="105"/>
      <c r="E993" s="105"/>
      <c r="F993" s="105"/>
      <c r="G993" s="105"/>
      <c r="H993" s="106"/>
      <c r="I993" s="107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4.25" customHeight="1">
      <c r="A994" s="105"/>
      <c r="B994" s="105"/>
      <c r="C994" s="106"/>
      <c r="D994" s="105"/>
      <c r="E994" s="105"/>
      <c r="F994" s="105"/>
      <c r="G994" s="105"/>
      <c r="H994" s="106"/>
      <c r="I994" s="107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4.25" customHeight="1">
      <c r="A995" s="105"/>
      <c r="B995" s="105"/>
      <c r="C995" s="106"/>
      <c r="D995" s="105"/>
      <c r="E995" s="105"/>
      <c r="F995" s="105"/>
      <c r="G995" s="105"/>
      <c r="H995" s="106"/>
      <c r="I995" s="107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4.25" customHeight="1">
      <c r="A996" s="105"/>
      <c r="B996" s="105"/>
      <c r="C996" s="106"/>
      <c r="D996" s="105"/>
      <c r="E996" s="105"/>
      <c r="F996" s="105"/>
      <c r="G996" s="105"/>
      <c r="H996" s="106"/>
      <c r="I996" s="107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4.25" customHeight="1">
      <c r="A997" s="105"/>
      <c r="B997" s="105"/>
      <c r="C997" s="106"/>
      <c r="D997" s="105"/>
      <c r="E997" s="105"/>
      <c r="F997" s="105"/>
      <c r="G997" s="105"/>
      <c r="H997" s="106"/>
      <c r="I997" s="107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4.25" customHeight="1">
      <c r="A998" s="105"/>
      <c r="B998" s="105"/>
      <c r="C998" s="106"/>
      <c r="D998" s="105"/>
      <c r="E998" s="105"/>
      <c r="F998" s="105"/>
      <c r="G998" s="105"/>
      <c r="H998" s="106"/>
      <c r="I998" s="107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4.25" customHeight="1">
      <c r="A999" s="105"/>
      <c r="B999" s="105"/>
      <c r="C999" s="106"/>
      <c r="D999" s="105"/>
      <c r="E999" s="105"/>
      <c r="F999" s="105"/>
      <c r="G999" s="105"/>
      <c r="H999" s="106"/>
      <c r="I999" s="107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4.25" customHeight="1">
      <c r="A1000" s="105"/>
      <c r="B1000" s="105"/>
      <c r="C1000" s="106"/>
      <c r="D1000" s="105"/>
      <c r="E1000" s="105"/>
      <c r="F1000" s="105"/>
      <c r="G1000" s="105"/>
      <c r="H1000" s="106"/>
      <c r="I1000" s="107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autoFilter ref="$C$6:$I$32"/>
  <mergeCells count="13">
    <mergeCell ref="B18:B21"/>
    <mergeCell ref="J18:J21"/>
    <mergeCell ref="J25:J29"/>
    <mergeCell ref="J30:J32"/>
    <mergeCell ref="A22:A32"/>
    <mergeCell ref="B22:B32"/>
    <mergeCell ref="B2:H2"/>
    <mergeCell ref="B4:H4"/>
    <mergeCell ref="D5:H5"/>
    <mergeCell ref="A11:A15"/>
    <mergeCell ref="B11:B15"/>
    <mergeCell ref="D16:H16"/>
    <mergeCell ref="A18:A2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5.88"/>
    <col customWidth="1" min="3" max="3" width="14.25"/>
    <col customWidth="1" min="4" max="5" width="22.88"/>
    <col customWidth="1" min="6" max="6" width="3.75"/>
    <col customWidth="1" min="7" max="7" width="32.63"/>
    <col customWidth="1" min="8" max="8" width="39.13"/>
    <col customWidth="1" min="9" max="9" width="9.75"/>
    <col customWidth="1" min="10" max="10" width="23.88"/>
    <col customWidth="1" min="11" max="11" width="22.75"/>
    <col customWidth="1" min="12" max="26" width="5.88"/>
  </cols>
  <sheetData>
    <row r="1" ht="14.25" customHeight="1">
      <c r="A1" s="107"/>
      <c r="B1" s="105"/>
      <c r="C1" s="106"/>
      <c r="D1" s="105"/>
      <c r="E1" s="105"/>
      <c r="F1" s="107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55.5" customHeight="1">
      <c r="A2" s="107"/>
      <c r="B2" s="106"/>
      <c r="C2" s="106"/>
      <c r="D2" s="106"/>
      <c r="E2" s="106"/>
      <c r="F2" s="107"/>
      <c r="G2" s="106"/>
      <c r="H2" s="106"/>
      <c r="I2" s="106"/>
      <c r="J2" s="123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42.0" customHeight="1">
      <c r="A3" s="107"/>
      <c r="B3" s="124" t="s">
        <v>462</v>
      </c>
      <c r="C3" s="110"/>
      <c r="D3" s="110"/>
      <c r="E3" s="110"/>
      <c r="F3" s="110"/>
      <c r="G3" s="110"/>
      <c r="H3" s="111"/>
      <c r="I3" s="12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4.25" customHeight="1">
      <c r="A4" s="107"/>
      <c r="B4" s="105"/>
      <c r="C4" s="126" t="s">
        <v>213</v>
      </c>
      <c r="D4" s="115" t="s">
        <v>463</v>
      </c>
      <c r="E4" s="110"/>
      <c r="F4" s="110"/>
      <c r="G4" s="110"/>
      <c r="H4" s="111"/>
      <c r="I4" s="126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7"/>
      <c r="B5" s="113" t="s">
        <v>118</v>
      </c>
      <c r="C5" s="117" t="s">
        <v>100</v>
      </c>
      <c r="D5" s="116" t="s">
        <v>101</v>
      </c>
      <c r="E5" s="116" t="s">
        <v>102</v>
      </c>
      <c r="F5" s="116" t="s">
        <v>103</v>
      </c>
      <c r="G5" s="116" t="s">
        <v>104</v>
      </c>
      <c r="H5" s="116" t="s">
        <v>105</v>
      </c>
      <c r="I5" s="116" t="s">
        <v>106</v>
      </c>
      <c r="J5" s="105" t="s">
        <v>302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28.25" customHeight="1">
      <c r="A6" s="107">
        <v>1.0</v>
      </c>
      <c r="B6" s="116" t="s">
        <v>22</v>
      </c>
      <c r="C6" s="106" t="s">
        <v>464</v>
      </c>
      <c r="D6" s="107" t="s">
        <v>465</v>
      </c>
      <c r="E6" s="107" t="s">
        <v>433</v>
      </c>
      <c r="F6" s="107" t="s">
        <v>466</v>
      </c>
      <c r="G6" s="105" t="s">
        <v>467</v>
      </c>
      <c r="H6" s="106" t="s">
        <v>468</v>
      </c>
      <c r="I6" s="106" t="s">
        <v>12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8.0" customHeight="1">
      <c r="B7" s="116"/>
      <c r="C7" s="106"/>
      <c r="D7" s="107"/>
      <c r="E7" s="107"/>
      <c r="F7" s="107"/>
      <c r="G7" s="105" t="s">
        <v>469</v>
      </c>
      <c r="H7" s="106"/>
      <c r="I7" s="106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273.0" customHeight="1">
      <c r="B8" s="116"/>
      <c r="C8" s="106"/>
      <c r="D8" s="107"/>
      <c r="E8" s="107"/>
      <c r="F8" s="107" t="s">
        <v>456</v>
      </c>
      <c r="G8" s="105" t="s">
        <v>470</v>
      </c>
      <c r="H8" s="106" t="s">
        <v>471</v>
      </c>
      <c r="I8" s="106" t="s">
        <v>12</v>
      </c>
      <c r="J8" s="105"/>
      <c r="K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408.0" customHeight="1">
      <c r="B9" s="116"/>
      <c r="C9" s="106"/>
      <c r="D9" s="107"/>
      <c r="E9" s="107"/>
      <c r="F9" s="107" t="s">
        <v>433</v>
      </c>
      <c r="G9" s="105" t="s">
        <v>472</v>
      </c>
      <c r="H9" s="106" t="s">
        <v>473</v>
      </c>
      <c r="I9" s="106" t="s">
        <v>12</v>
      </c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72.75" customHeight="1">
      <c r="A10" s="107"/>
      <c r="B10" s="113"/>
      <c r="C10" s="126" t="s">
        <v>116</v>
      </c>
      <c r="D10" s="115" t="s">
        <v>117</v>
      </c>
      <c r="E10" s="110"/>
      <c r="F10" s="110"/>
      <c r="G10" s="110"/>
      <c r="H10" s="111"/>
      <c r="I10" s="126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8.75" customHeight="1">
      <c r="A11" s="107"/>
      <c r="B11" s="113" t="s">
        <v>118</v>
      </c>
      <c r="C11" s="117" t="s">
        <v>100</v>
      </c>
      <c r="D11" s="116" t="s">
        <v>101</v>
      </c>
      <c r="E11" s="116" t="s">
        <v>102</v>
      </c>
      <c r="F11" s="116" t="s">
        <v>103</v>
      </c>
      <c r="G11" s="116" t="s">
        <v>104</v>
      </c>
      <c r="H11" s="116" t="s">
        <v>105</v>
      </c>
      <c r="I11" s="116" t="s">
        <v>106</v>
      </c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4.25" customHeight="1">
      <c r="A12" s="107">
        <v>2.0</v>
      </c>
      <c r="B12" s="116" t="s">
        <v>27</v>
      </c>
      <c r="C12" s="106" t="s">
        <v>474</v>
      </c>
      <c r="D12" s="107" t="s">
        <v>120</v>
      </c>
      <c r="E12" s="107" t="s">
        <v>433</v>
      </c>
      <c r="F12" s="107" t="s">
        <v>466</v>
      </c>
      <c r="G12" s="105" t="s">
        <v>121</v>
      </c>
      <c r="H12" s="105" t="s">
        <v>122</v>
      </c>
      <c r="I12" s="106" t="s">
        <v>12</v>
      </c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96.0" customHeight="1">
      <c r="B13" s="116"/>
      <c r="C13" s="106"/>
      <c r="D13" s="107"/>
      <c r="E13" s="107"/>
      <c r="F13" s="107" t="s">
        <v>453</v>
      </c>
      <c r="G13" s="105" t="s">
        <v>123</v>
      </c>
      <c r="H13" s="105" t="s">
        <v>475</v>
      </c>
      <c r="I13" s="106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7.25" customHeight="1">
      <c r="B14" s="116"/>
      <c r="C14" s="106"/>
      <c r="D14" s="107"/>
      <c r="E14" s="107"/>
      <c r="F14" s="107">
        <v>0.0</v>
      </c>
      <c r="G14" s="105" t="s">
        <v>129</v>
      </c>
      <c r="H14" s="105" t="s">
        <v>130</v>
      </c>
      <c r="I14" s="106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33.75" customHeight="1">
      <c r="B15" s="116"/>
      <c r="C15" s="106" t="s">
        <v>476</v>
      </c>
      <c r="D15" s="107" t="s">
        <v>128</v>
      </c>
      <c r="E15" s="127" t="s">
        <v>433</v>
      </c>
      <c r="F15" s="107" t="s">
        <v>434</v>
      </c>
      <c r="G15" s="105" t="s">
        <v>121</v>
      </c>
      <c r="H15" s="105" t="s">
        <v>122</v>
      </c>
      <c r="I15" s="106" t="s">
        <v>12</v>
      </c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14.0" customHeight="1">
      <c r="B16" s="116"/>
      <c r="C16" s="106"/>
      <c r="D16" s="107"/>
      <c r="E16" s="127"/>
      <c r="F16" s="107" t="s">
        <v>477</v>
      </c>
      <c r="G16" s="105" t="s">
        <v>123</v>
      </c>
      <c r="H16" s="105" t="s">
        <v>475</v>
      </c>
      <c r="I16" s="106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18.5" customHeight="1">
      <c r="B17" s="116"/>
      <c r="C17" s="106"/>
      <c r="D17" s="107"/>
      <c r="E17" s="127"/>
      <c r="F17" s="107">
        <v>0.0</v>
      </c>
      <c r="G17" s="105" t="s">
        <v>129</v>
      </c>
      <c r="H17" s="105" t="s">
        <v>130</v>
      </c>
      <c r="I17" s="106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81.0" customHeight="1">
      <c r="A18" s="107"/>
      <c r="B18" s="113"/>
      <c r="C18" s="128" t="s">
        <v>116</v>
      </c>
      <c r="D18" s="115" t="s">
        <v>131</v>
      </c>
      <c r="E18" s="110"/>
      <c r="F18" s="110"/>
      <c r="G18" s="110"/>
      <c r="H18" s="111"/>
      <c r="I18" s="128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8.75" customHeight="1">
      <c r="A19" s="107"/>
      <c r="B19" s="113" t="s">
        <v>118</v>
      </c>
      <c r="C19" s="117" t="s">
        <v>100</v>
      </c>
      <c r="D19" s="116" t="s">
        <v>101</v>
      </c>
      <c r="E19" s="116" t="s">
        <v>102</v>
      </c>
      <c r="F19" s="116" t="s">
        <v>103</v>
      </c>
      <c r="G19" s="116" t="s">
        <v>104</v>
      </c>
      <c r="H19" s="116" t="s">
        <v>105</v>
      </c>
      <c r="I19" s="116" t="s">
        <v>106</v>
      </c>
      <c r="J19" s="107" t="s">
        <v>478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33.5" customHeight="1">
      <c r="A20" s="107">
        <v>3.0</v>
      </c>
      <c r="B20" s="129" t="s">
        <v>132</v>
      </c>
      <c r="C20" s="106" t="s">
        <v>479</v>
      </c>
      <c r="D20" s="105" t="s">
        <v>134</v>
      </c>
      <c r="E20" s="107" t="s">
        <v>433</v>
      </c>
      <c r="F20" s="127" t="s">
        <v>466</v>
      </c>
      <c r="G20" s="105" t="s">
        <v>135</v>
      </c>
      <c r="H20" s="106" t="s">
        <v>136</v>
      </c>
      <c r="I20" s="105" t="s">
        <v>13</v>
      </c>
      <c r="J20" s="130" t="s">
        <v>480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8.0" customHeight="1">
      <c r="B21" s="129"/>
      <c r="C21" s="120"/>
      <c r="D21" s="131"/>
      <c r="E21" s="107"/>
      <c r="F21" s="127"/>
      <c r="G21" s="131" t="s">
        <v>137</v>
      </c>
      <c r="H21" s="120"/>
      <c r="I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44.0" customHeight="1">
      <c r="B22" s="129"/>
      <c r="C22" s="120"/>
      <c r="D22" s="131"/>
      <c r="E22" s="107"/>
      <c r="F22" s="127" t="s">
        <v>453</v>
      </c>
      <c r="G22" s="105" t="s">
        <v>481</v>
      </c>
      <c r="H22" s="105" t="s">
        <v>482</v>
      </c>
      <c r="I22" s="105" t="s">
        <v>140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8.0" customHeight="1">
      <c r="B23" s="129"/>
      <c r="C23" s="120"/>
      <c r="D23" s="131"/>
      <c r="E23" s="107"/>
      <c r="F23" s="127"/>
      <c r="G23" s="131" t="s">
        <v>137</v>
      </c>
      <c r="H23" s="105"/>
      <c r="I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77.25" customHeight="1">
      <c r="B24" s="129"/>
      <c r="C24" s="120"/>
      <c r="D24" s="131"/>
      <c r="E24" s="107"/>
      <c r="F24" s="127" t="s">
        <v>439</v>
      </c>
      <c r="G24" s="105" t="s">
        <v>483</v>
      </c>
      <c r="H24" s="105" t="s">
        <v>484</v>
      </c>
      <c r="I24" s="105" t="s">
        <v>13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28.5" customHeight="1">
      <c r="A25" s="107"/>
      <c r="B25" s="113"/>
      <c r="C25" s="126" t="s">
        <v>116</v>
      </c>
      <c r="D25" s="115" t="s">
        <v>143</v>
      </c>
      <c r="E25" s="110"/>
      <c r="F25" s="110"/>
      <c r="G25" s="110"/>
      <c r="H25" s="111"/>
      <c r="I25" s="126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7.25" customHeight="1">
      <c r="A26" s="107"/>
      <c r="B26" s="113" t="s">
        <v>118</v>
      </c>
      <c r="C26" s="117" t="s">
        <v>100</v>
      </c>
      <c r="D26" s="116" t="s">
        <v>101</v>
      </c>
      <c r="E26" s="116" t="s">
        <v>102</v>
      </c>
      <c r="F26" s="116" t="s">
        <v>103</v>
      </c>
      <c r="G26" s="116" t="s">
        <v>104</v>
      </c>
      <c r="H26" s="116" t="s">
        <v>105</v>
      </c>
      <c r="I26" s="116" t="s">
        <v>106</v>
      </c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00.5" customHeight="1">
      <c r="A27" s="107">
        <v>4.0</v>
      </c>
      <c r="B27" s="116" t="s">
        <v>37</v>
      </c>
      <c r="C27" s="106" t="s">
        <v>485</v>
      </c>
      <c r="D27" s="106" t="s">
        <v>486</v>
      </c>
      <c r="E27" s="107" t="s">
        <v>433</v>
      </c>
      <c r="F27" s="107" t="s">
        <v>450</v>
      </c>
      <c r="G27" s="105" t="s">
        <v>487</v>
      </c>
      <c r="H27" s="106" t="s">
        <v>488</v>
      </c>
      <c r="I27" s="106" t="s">
        <v>12</v>
      </c>
      <c r="J27" s="105" t="s">
        <v>489</v>
      </c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4.25" customHeight="1">
      <c r="B28" s="116"/>
      <c r="C28" s="106"/>
      <c r="D28" s="106"/>
      <c r="E28" s="107"/>
      <c r="F28" s="107"/>
      <c r="G28" s="105" t="s">
        <v>137</v>
      </c>
      <c r="H28" s="106"/>
      <c r="I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57.0" customHeight="1">
      <c r="B29" s="116"/>
      <c r="C29" s="106"/>
      <c r="D29" s="106"/>
      <c r="E29" s="107"/>
      <c r="F29" s="107" t="s">
        <v>456</v>
      </c>
      <c r="G29" s="105" t="s">
        <v>490</v>
      </c>
      <c r="H29" s="106" t="s">
        <v>491</v>
      </c>
      <c r="I29" s="106" t="s">
        <v>12</v>
      </c>
      <c r="J29" s="131" t="s">
        <v>492</v>
      </c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8.0" customHeight="1">
      <c r="B30" s="116"/>
      <c r="C30" s="106"/>
      <c r="D30" s="106"/>
      <c r="E30" s="107"/>
      <c r="F30" s="107"/>
      <c r="G30" s="105" t="s">
        <v>137</v>
      </c>
      <c r="H30" s="106"/>
      <c r="I30" s="106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201.0" customHeight="1">
      <c r="B31" s="116"/>
      <c r="C31" s="106"/>
      <c r="D31" s="106"/>
      <c r="E31" s="107"/>
      <c r="F31" s="107" t="s">
        <v>439</v>
      </c>
      <c r="G31" s="105" t="s">
        <v>493</v>
      </c>
      <c r="H31" s="106" t="s">
        <v>494</v>
      </c>
      <c r="I31" s="106" t="s">
        <v>12</v>
      </c>
      <c r="J31" s="105" t="s">
        <v>495</v>
      </c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8.0" customHeight="1">
      <c r="B32" s="116"/>
      <c r="C32" s="106"/>
      <c r="D32" s="106"/>
      <c r="E32" s="107"/>
      <c r="F32" s="107"/>
      <c r="G32" s="105" t="s">
        <v>152</v>
      </c>
      <c r="H32" s="106"/>
      <c r="I32" s="106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28.5" customHeight="1">
      <c r="A33" s="107"/>
      <c r="B33" s="113"/>
      <c r="C33" s="126" t="s">
        <v>116</v>
      </c>
      <c r="D33" s="115" t="s">
        <v>153</v>
      </c>
      <c r="E33" s="110"/>
      <c r="F33" s="110"/>
      <c r="G33" s="110"/>
      <c r="H33" s="111"/>
      <c r="I33" s="126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7.25" customHeight="1">
      <c r="A34" s="107"/>
      <c r="B34" s="113" t="s">
        <v>118</v>
      </c>
      <c r="C34" s="117" t="s">
        <v>100</v>
      </c>
      <c r="D34" s="116" t="s">
        <v>101</v>
      </c>
      <c r="E34" s="116" t="s">
        <v>102</v>
      </c>
      <c r="F34" s="116" t="s">
        <v>103</v>
      </c>
      <c r="G34" s="116" t="s">
        <v>104</v>
      </c>
      <c r="H34" s="116" t="s">
        <v>105</v>
      </c>
      <c r="I34" s="116" t="s">
        <v>106</v>
      </c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14.75" customHeight="1">
      <c r="A35" s="107">
        <v>5.0</v>
      </c>
      <c r="B35" s="116" t="s">
        <v>40</v>
      </c>
      <c r="C35" s="106" t="s">
        <v>41</v>
      </c>
      <c r="D35" s="106" t="s">
        <v>155</v>
      </c>
      <c r="E35" s="107" t="s">
        <v>433</v>
      </c>
      <c r="F35" s="107" t="s">
        <v>450</v>
      </c>
      <c r="G35" s="105" t="s">
        <v>496</v>
      </c>
      <c r="H35" s="131" t="s">
        <v>497</v>
      </c>
      <c r="I35" s="106" t="s">
        <v>12</v>
      </c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8.0" customHeight="1">
      <c r="B36" s="116"/>
      <c r="C36" s="106"/>
      <c r="D36" s="106"/>
      <c r="E36" s="107"/>
      <c r="F36" s="107"/>
      <c r="G36" s="105" t="s">
        <v>137</v>
      </c>
      <c r="H36" s="131"/>
      <c r="I36" s="105" t="s">
        <v>498</v>
      </c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61.25" customHeight="1">
      <c r="B37" s="116"/>
      <c r="C37" s="106"/>
      <c r="D37" s="106"/>
      <c r="E37" s="107"/>
      <c r="F37" s="107" t="s">
        <v>453</v>
      </c>
      <c r="G37" s="105" t="s">
        <v>499</v>
      </c>
      <c r="H37" s="106" t="s">
        <v>500</v>
      </c>
      <c r="I37" s="106" t="s">
        <v>12</v>
      </c>
      <c r="J37" s="131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4.25" customHeight="1">
      <c r="B38" s="116"/>
      <c r="C38" s="106"/>
      <c r="D38" s="106"/>
      <c r="E38" s="107"/>
      <c r="F38" s="107"/>
      <c r="G38" s="105" t="s">
        <v>501</v>
      </c>
      <c r="H38" s="106"/>
      <c r="I38" s="106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210.0" customHeight="1">
      <c r="B39" s="116"/>
      <c r="C39" s="106"/>
      <c r="D39" s="106"/>
      <c r="E39" s="107"/>
      <c r="F39" s="107" t="s">
        <v>439</v>
      </c>
      <c r="G39" s="105" t="s">
        <v>502</v>
      </c>
      <c r="H39" s="106" t="s">
        <v>503</v>
      </c>
      <c r="I39" s="106" t="s">
        <v>12</v>
      </c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4.25" customHeight="1">
      <c r="B40" s="116"/>
      <c r="C40" s="106"/>
      <c r="D40" s="106"/>
      <c r="E40" s="107"/>
      <c r="F40" s="107"/>
      <c r="G40" s="105" t="s">
        <v>504</v>
      </c>
      <c r="H40" s="106"/>
      <c r="I40" s="106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7.25" customHeight="1">
      <c r="A41" s="107"/>
      <c r="B41" s="113"/>
      <c r="C41" s="126" t="s">
        <v>116</v>
      </c>
      <c r="D41" s="115" t="s">
        <v>163</v>
      </c>
      <c r="E41" s="110"/>
      <c r="F41" s="110"/>
      <c r="G41" s="110"/>
      <c r="H41" s="111"/>
      <c r="I41" s="126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7.25" customHeight="1">
      <c r="A42" s="107"/>
      <c r="B42" s="113" t="s">
        <v>118</v>
      </c>
      <c r="C42" s="117" t="s">
        <v>100</v>
      </c>
      <c r="D42" s="116" t="s">
        <v>101</v>
      </c>
      <c r="E42" s="116" t="s">
        <v>102</v>
      </c>
      <c r="F42" s="116" t="s">
        <v>103</v>
      </c>
      <c r="G42" s="116" t="s">
        <v>104</v>
      </c>
      <c r="H42" s="116" t="s">
        <v>105</v>
      </c>
      <c r="I42" s="116" t="s">
        <v>106</v>
      </c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4.25" customHeight="1">
      <c r="A43" s="107">
        <v>6.0</v>
      </c>
      <c r="B43" s="116" t="s">
        <v>43</v>
      </c>
      <c r="C43" s="106" t="s">
        <v>164</v>
      </c>
      <c r="D43" s="107" t="s">
        <v>45</v>
      </c>
      <c r="E43" s="105"/>
      <c r="F43" s="107" t="s">
        <v>77</v>
      </c>
      <c r="G43" s="105" t="s">
        <v>165</v>
      </c>
      <c r="H43" s="105" t="s">
        <v>505</v>
      </c>
      <c r="I43" s="132" t="s">
        <v>12</v>
      </c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4.25" customHeight="1">
      <c r="A44" s="107"/>
      <c r="B44" s="116"/>
      <c r="C44" s="106" t="s">
        <v>506</v>
      </c>
      <c r="D44" s="107" t="s">
        <v>507</v>
      </c>
      <c r="E44" s="105"/>
      <c r="F44" s="107" t="s">
        <v>77</v>
      </c>
      <c r="G44" s="105" t="s">
        <v>165</v>
      </c>
      <c r="H44" s="105" t="s">
        <v>508</v>
      </c>
      <c r="I44" s="105" t="s">
        <v>211</v>
      </c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7.25" customHeight="1">
      <c r="A45" s="107"/>
      <c r="B45" s="113"/>
      <c r="C45" s="126" t="s">
        <v>116</v>
      </c>
      <c r="D45" s="115" t="s">
        <v>170</v>
      </c>
      <c r="E45" s="110"/>
      <c r="F45" s="110"/>
      <c r="G45" s="110"/>
      <c r="H45" s="111"/>
      <c r="I45" s="126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7.25" customHeight="1">
      <c r="A46" s="107"/>
      <c r="B46" s="113" t="s">
        <v>118</v>
      </c>
      <c r="C46" s="117" t="s">
        <v>100</v>
      </c>
      <c r="D46" s="116" t="s">
        <v>101</v>
      </c>
      <c r="E46" s="116" t="s">
        <v>102</v>
      </c>
      <c r="F46" s="116" t="s">
        <v>103</v>
      </c>
      <c r="G46" s="116" t="s">
        <v>104</v>
      </c>
      <c r="H46" s="116" t="s">
        <v>105</v>
      </c>
      <c r="I46" s="116" t="s">
        <v>106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55.5" customHeight="1">
      <c r="A47" s="107">
        <v>7.0</v>
      </c>
      <c r="B47" s="116" t="s">
        <v>50</v>
      </c>
      <c r="C47" s="106" t="s">
        <v>509</v>
      </c>
      <c r="D47" s="107" t="s">
        <v>52</v>
      </c>
      <c r="E47" s="107" t="s">
        <v>510</v>
      </c>
      <c r="F47" s="107" t="s">
        <v>511</v>
      </c>
      <c r="G47" s="105" t="s">
        <v>512</v>
      </c>
      <c r="H47" s="106" t="s">
        <v>513</v>
      </c>
      <c r="I47" s="106" t="s">
        <v>12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7.25" customHeight="1">
      <c r="B48" s="116"/>
      <c r="C48" s="106"/>
      <c r="D48" s="107"/>
      <c r="E48" s="107"/>
      <c r="F48" s="107"/>
      <c r="G48" s="105" t="s">
        <v>174</v>
      </c>
      <c r="H48" s="106"/>
      <c r="I48" s="106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55.5" customHeight="1">
      <c r="B49" s="116"/>
      <c r="C49" s="106"/>
      <c r="D49" s="107"/>
      <c r="E49" s="107"/>
      <c r="F49" s="107" t="s">
        <v>439</v>
      </c>
      <c r="G49" s="106" t="s">
        <v>175</v>
      </c>
      <c r="H49" s="106" t="s">
        <v>176</v>
      </c>
      <c r="I49" s="106" t="s">
        <v>12</v>
      </c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7.25" customHeight="1">
      <c r="B50" s="116"/>
      <c r="C50" s="106"/>
      <c r="D50" s="107"/>
      <c r="E50" s="107"/>
      <c r="F50" s="107"/>
      <c r="G50" s="106"/>
      <c r="H50" s="106"/>
      <c r="I50" s="106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61.5" customHeight="1">
      <c r="B51" s="116"/>
      <c r="C51" s="106" t="s">
        <v>514</v>
      </c>
      <c r="D51" s="107" t="s">
        <v>515</v>
      </c>
      <c r="E51" s="107" t="s">
        <v>510</v>
      </c>
      <c r="F51" s="107" t="s">
        <v>453</v>
      </c>
      <c r="G51" s="105" t="s">
        <v>516</v>
      </c>
      <c r="H51" s="106" t="s">
        <v>517</v>
      </c>
      <c r="I51" s="106" t="s">
        <v>13</v>
      </c>
      <c r="J51" s="106" t="s">
        <v>518</v>
      </c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7.25" customHeight="1">
      <c r="B52" s="116"/>
      <c r="C52" s="106"/>
      <c r="D52" s="107"/>
      <c r="E52" s="107"/>
      <c r="F52" s="107"/>
      <c r="G52" s="105" t="s">
        <v>174</v>
      </c>
      <c r="H52" s="106"/>
      <c r="I52" s="107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7.25" customHeight="1">
      <c r="B53" s="116"/>
      <c r="C53" s="106"/>
      <c r="D53" s="107"/>
      <c r="E53" s="107"/>
      <c r="F53" s="107" t="s">
        <v>439</v>
      </c>
      <c r="G53" s="105"/>
      <c r="H53" s="105" t="s">
        <v>519</v>
      </c>
      <c r="I53" s="106" t="s">
        <v>13</v>
      </c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7.25" customHeight="1">
      <c r="B54" s="116"/>
      <c r="C54" s="106" t="s">
        <v>58</v>
      </c>
      <c r="D54" s="107" t="s">
        <v>520</v>
      </c>
      <c r="E54" s="107" t="s">
        <v>510</v>
      </c>
      <c r="F54" s="107" t="s">
        <v>453</v>
      </c>
      <c r="G54" s="105" t="s">
        <v>521</v>
      </c>
      <c r="H54" s="106" t="s">
        <v>184</v>
      </c>
      <c r="I54" s="106" t="s">
        <v>12</v>
      </c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7.25" customHeight="1">
      <c r="B55" s="116"/>
      <c r="C55" s="106"/>
      <c r="D55" s="107"/>
      <c r="E55" s="107"/>
      <c r="F55" s="107"/>
      <c r="G55" s="105" t="s">
        <v>185</v>
      </c>
      <c r="H55" s="106"/>
      <c r="I55" s="106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7.25" customHeight="1">
      <c r="B56" s="116"/>
      <c r="C56" s="106"/>
      <c r="D56" s="107"/>
      <c r="E56" s="107"/>
      <c r="F56" s="107" t="s">
        <v>439</v>
      </c>
      <c r="G56" s="105" t="s">
        <v>522</v>
      </c>
      <c r="H56" s="106"/>
      <c r="I56" s="106" t="s">
        <v>12</v>
      </c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70.5" customHeight="1">
      <c r="B57" s="116"/>
      <c r="C57" s="106" t="s">
        <v>60</v>
      </c>
      <c r="D57" s="107" t="s">
        <v>523</v>
      </c>
      <c r="E57" s="107" t="s">
        <v>433</v>
      </c>
      <c r="F57" s="107" t="s">
        <v>524</v>
      </c>
      <c r="G57" s="105" t="s">
        <v>525</v>
      </c>
      <c r="H57" s="106" t="s">
        <v>526</v>
      </c>
      <c r="I57" s="106" t="s">
        <v>13</v>
      </c>
      <c r="J57" s="130" t="s">
        <v>527</v>
      </c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7.25" customHeight="1">
      <c r="B58" s="116"/>
      <c r="C58" s="106"/>
      <c r="D58" s="107"/>
      <c r="E58" s="107"/>
      <c r="F58" s="107"/>
      <c r="G58" s="105" t="s">
        <v>528</v>
      </c>
      <c r="H58" s="106"/>
      <c r="I58" s="107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97.5" customHeight="1">
      <c r="B59" s="116"/>
      <c r="C59" s="106"/>
      <c r="D59" s="107"/>
      <c r="E59" s="107"/>
      <c r="F59" s="107" t="s">
        <v>453</v>
      </c>
      <c r="G59" s="105" t="s">
        <v>529</v>
      </c>
      <c r="H59" s="106" t="s">
        <v>530</v>
      </c>
      <c r="I59" s="106" t="s">
        <v>13</v>
      </c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7.25" customHeight="1">
      <c r="B60" s="116"/>
      <c r="C60" s="106"/>
      <c r="D60" s="107"/>
      <c r="E60" s="107"/>
      <c r="F60" s="107"/>
      <c r="G60" s="105" t="s">
        <v>531</v>
      </c>
      <c r="H60" s="106"/>
      <c r="I60" s="107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61.5" customHeight="1">
      <c r="B61" s="116"/>
      <c r="C61" s="106"/>
      <c r="D61" s="107"/>
      <c r="E61" s="107"/>
      <c r="F61" s="107" t="s">
        <v>439</v>
      </c>
      <c r="G61" s="106" t="s">
        <v>532</v>
      </c>
      <c r="H61" s="106"/>
      <c r="I61" s="106" t="s">
        <v>13</v>
      </c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7.25" customHeight="1">
      <c r="B62" s="116"/>
      <c r="C62" s="106"/>
      <c r="D62" s="107"/>
      <c r="E62" s="107"/>
      <c r="F62" s="107"/>
      <c r="G62" s="106"/>
      <c r="H62" s="106"/>
      <c r="I62" s="106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4.25" customHeight="1">
      <c r="B63" s="116"/>
      <c r="C63" s="106" t="s">
        <v>62</v>
      </c>
      <c r="D63" s="107" t="s">
        <v>196</v>
      </c>
      <c r="E63" s="107" t="s">
        <v>433</v>
      </c>
      <c r="F63" s="133" t="s">
        <v>453</v>
      </c>
      <c r="G63" s="105" t="s">
        <v>197</v>
      </c>
      <c r="H63" s="134" t="s">
        <v>198</v>
      </c>
      <c r="I63" s="134" t="s">
        <v>13</v>
      </c>
      <c r="J63" s="106" t="s">
        <v>533</v>
      </c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7.25" customHeight="1">
      <c r="B64" s="116"/>
      <c r="C64" s="106"/>
      <c r="D64" s="107"/>
      <c r="E64" s="107"/>
      <c r="F64" s="107"/>
      <c r="G64" s="105" t="s">
        <v>199</v>
      </c>
      <c r="H64" s="105"/>
      <c r="I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7.25" customHeight="1">
      <c r="B65" s="116"/>
      <c r="C65" s="106"/>
      <c r="D65" s="107"/>
      <c r="E65" s="107"/>
      <c r="F65" s="133" t="s">
        <v>439</v>
      </c>
      <c r="G65" s="105" t="s">
        <v>200</v>
      </c>
      <c r="H65" s="105"/>
      <c r="I65" s="134" t="s">
        <v>13</v>
      </c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00.5" customHeight="1">
      <c r="B66" s="116"/>
      <c r="C66" s="106" t="s">
        <v>64</v>
      </c>
      <c r="D66" s="107" t="s">
        <v>534</v>
      </c>
      <c r="E66" s="107" t="s">
        <v>510</v>
      </c>
      <c r="F66" s="133" t="s">
        <v>477</v>
      </c>
      <c r="G66" s="105" t="s">
        <v>202</v>
      </c>
      <c r="H66" s="106" t="s">
        <v>535</v>
      </c>
      <c r="I66" s="106" t="s">
        <v>13</v>
      </c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7.25" customHeight="1">
      <c r="B67" s="116"/>
      <c r="C67" s="106"/>
      <c r="D67" s="107"/>
      <c r="E67" s="107"/>
      <c r="F67" s="107"/>
      <c r="G67" s="105" t="s">
        <v>174</v>
      </c>
      <c r="H67" s="106"/>
      <c r="I67" s="106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00.5" customHeight="1">
      <c r="B68" s="116"/>
      <c r="C68" s="106"/>
      <c r="D68" s="107"/>
      <c r="E68" s="107"/>
      <c r="F68" s="133" t="s">
        <v>439</v>
      </c>
      <c r="G68" s="105" t="s">
        <v>65</v>
      </c>
      <c r="H68" s="105"/>
      <c r="I68" s="106" t="s">
        <v>13</v>
      </c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4.25" customHeight="1">
      <c r="B69" s="116"/>
      <c r="C69" s="106" t="s">
        <v>66</v>
      </c>
      <c r="D69" s="107" t="s">
        <v>67</v>
      </c>
      <c r="E69" s="107" t="s">
        <v>433</v>
      </c>
      <c r="F69" s="133" t="s">
        <v>536</v>
      </c>
      <c r="G69" s="105" t="s">
        <v>204</v>
      </c>
      <c r="H69" s="106" t="s">
        <v>537</v>
      </c>
      <c r="I69" s="106" t="s">
        <v>12</v>
      </c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33.0" customHeight="1">
      <c r="B70" s="116"/>
      <c r="C70" s="106"/>
      <c r="D70" s="107"/>
      <c r="E70" s="107"/>
      <c r="F70" s="133" t="s">
        <v>538</v>
      </c>
      <c r="G70" s="105" t="s">
        <v>206</v>
      </c>
      <c r="H70" s="106"/>
      <c r="I70" s="106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24.0" customHeight="1">
      <c r="B71" s="116"/>
      <c r="C71" s="106"/>
      <c r="D71" s="107"/>
      <c r="E71" s="107"/>
      <c r="F71" s="107"/>
      <c r="G71" s="105" t="s">
        <v>199</v>
      </c>
      <c r="H71" s="106"/>
      <c r="I71" s="106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24.0" customHeight="1">
      <c r="B72" s="116"/>
      <c r="C72" s="106"/>
      <c r="D72" s="107"/>
      <c r="E72" s="107"/>
      <c r="F72" s="107" t="s">
        <v>439</v>
      </c>
      <c r="G72" s="105" t="s">
        <v>207</v>
      </c>
      <c r="H72" s="106"/>
      <c r="I72" s="106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42.75" customHeight="1">
      <c r="A73" s="107"/>
      <c r="B73" s="116"/>
      <c r="C73" s="106" t="s">
        <v>208</v>
      </c>
      <c r="D73" s="107" t="s">
        <v>208</v>
      </c>
      <c r="E73" s="107" t="s">
        <v>510</v>
      </c>
      <c r="F73" s="107" t="s">
        <v>453</v>
      </c>
      <c r="G73" s="105" t="s">
        <v>209</v>
      </c>
      <c r="H73" s="106" t="s">
        <v>210</v>
      </c>
      <c r="I73" s="106" t="s">
        <v>211</v>
      </c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4.25" customHeight="1">
      <c r="A74" s="107"/>
      <c r="B74" s="116"/>
      <c r="C74" s="106"/>
      <c r="D74" s="107"/>
      <c r="E74" s="107"/>
      <c r="F74" s="107"/>
      <c r="G74" s="105" t="s">
        <v>212</v>
      </c>
      <c r="H74" s="106"/>
      <c r="I74" s="106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4.25" customHeight="1">
      <c r="A75" s="107"/>
      <c r="B75" s="105"/>
      <c r="C75" s="106"/>
      <c r="D75" s="105"/>
      <c r="E75" s="105"/>
      <c r="F75" s="107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4.25" customHeight="1">
      <c r="A76" s="107"/>
      <c r="B76" s="105"/>
      <c r="C76" s="106"/>
      <c r="D76" s="105"/>
      <c r="E76" s="105"/>
      <c r="F76" s="107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4.25" customHeight="1">
      <c r="A77" s="107"/>
      <c r="B77" s="105"/>
      <c r="C77" s="106"/>
      <c r="D77" s="105"/>
      <c r="E77" s="105"/>
      <c r="F77" s="107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4.25" customHeight="1">
      <c r="A78" s="107"/>
      <c r="B78" s="105"/>
      <c r="C78" s="106"/>
      <c r="D78" s="105"/>
      <c r="E78" s="105"/>
      <c r="F78" s="107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4.25" customHeight="1">
      <c r="A79" s="107"/>
      <c r="B79" s="105"/>
      <c r="C79" s="106"/>
      <c r="D79" s="105"/>
      <c r="E79" s="105"/>
      <c r="F79" s="107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4.25" customHeight="1">
      <c r="A80" s="107"/>
      <c r="B80" s="105"/>
      <c r="C80" s="106"/>
      <c r="D80" s="105"/>
      <c r="E80" s="105"/>
      <c r="F80" s="107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4.25" customHeight="1">
      <c r="A81" s="107"/>
      <c r="B81" s="105"/>
      <c r="C81" s="106"/>
      <c r="D81" s="105"/>
      <c r="E81" s="105"/>
      <c r="F81" s="107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4.25" customHeight="1">
      <c r="A82" s="107"/>
      <c r="B82" s="105"/>
      <c r="C82" s="106"/>
      <c r="D82" s="105"/>
      <c r="E82" s="105"/>
      <c r="F82" s="107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4.25" customHeight="1">
      <c r="A83" s="107"/>
      <c r="B83" s="105"/>
      <c r="C83" s="106"/>
      <c r="D83" s="105"/>
      <c r="E83" s="105"/>
      <c r="F83" s="107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4.25" customHeight="1">
      <c r="A84" s="107"/>
      <c r="B84" s="105"/>
      <c r="C84" s="106"/>
      <c r="D84" s="105"/>
      <c r="E84" s="105"/>
      <c r="F84" s="107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4.25" customHeight="1">
      <c r="A85" s="107"/>
      <c r="B85" s="105"/>
      <c r="C85" s="106"/>
      <c r="D85" s="105"/>
      <c r="E85" s="105"/>
      <c r="F85" s="107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4.25" customHeight="1">
      <c r="A86" s="107"/>
      <c r="B86" s="105"/>
      <c r="C86" s="106"/>
      <c r="D86" s="105"/>
      <c r="E86" s="105"/>
      <c r="F86" s="107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4.25" customHeight="1">
      <c r="A87" s="107"/>
      <c r="B87" s="105"/>
      <c r="C87" s="106"/>
      <c r="D87" s="105"/>
      <c r="E87" s="105"/>
      <c r="F87" s="107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4.25" customHeight="1">
      <c r="A88" s="107"/>
      <c r="B88" s="105"/>
      <c r="C88" s="106"/>
      <c r="D88" s="105"/>
      <c r="E88" s="105"/>
      <c r="F88" s="107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4.25" customHeight="1">
      <c r="A89" s="107"/>
      <c r="B89" s="105"/>
      <c r="C89" s="106"/>
      <c r="D89" s="105"/>
      <c r="E89" s="105"/>
      <c r="F89" s="107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4.25" customHeight="1">
      <c r="A90" s="107"/>
      <c r="B90" s="105"/>
      <c r="C90" s="106"/>
      <c r="D90" s="105"/>
      <c r="E90" s="105"/>
      <c r="F90" s="107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4.25" customHeight="1">
      <c r="A91" s="107"/>
      <c r="B91" s="105"/>
      <c r="C91" s="106"/>
      <c r="D91" s="105"/>
      <c r="E91" s="105"/>
      <c r="F91" s="107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4.25" customHeight="1">
      <c r="A92" s="107"/>
      <c r="B92" s="105"/>
      <c r="C92" s="106"/>
      <c r="D92" s="105"/>
      <c r="E92" s="105"/>
      <c r="F92" s="107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4.25" customHeight="1">
      <c r="A93" s="107"/>
      <c r="B93" s="105"/>
      <c r="C93" s="106"/>
      <c r="D93" s="105"/>
      <c r="E93" s="105"/>
      <c r="F93" s="107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4.25" customHeight="1">
      <c r="A94" s="107"/>
      <c r="B94" s="105"/>
      <c r="C94" s="106"/>
      <c r="D94" s="105"/>
      <c r="E94" s="105"/>
      <c r="F94" s="107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4.25" customHeight="1">
      <c r="A95" s="107"/>
      <c r="B95" s="105"/>
      <c r="C95" s="106"/>
      <c r="D95" s="105"/>
      <c r="E95" s="105"/>
      <c r="F95" s="107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4.25" customHeight="1">
      <c r="A96" s="107"/>
      <c r="B96" s="105"/>
      <c r="C96" s="106"/>
      <c r="D96" s="105"/>
      <c r="E96" s="105"/>
      <c r="F96" s="107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4.25" customHeight="1">
      <c r="A97" s="107"/>
      <c r="B97" s="105"/>
      <c r="C97" s="106"/>
      <c r="D97" s="105"/>
      <c r="E97" s="105"/>
      <c r="F97" s="107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4.25" customHeight="1">
      <c r="A98" s="107"/>
      <c r="B98" s="105"/>
      <c r="C98" s="106"/>
      <c r="D98" s="105"/>
      <c r="E98" s="105"/>
      <c r="F98" s="107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4.25" customHeight="1">
      <c r="A99" s="107"/>
      <c r="B99" s="105"/>
      <c r="C99" s="106"/>
      <c r="D99" s="105"/>
      <c r="E99" s="105"/>
      <c r="F99" s="107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4.25" customHeight="1">
      <c r="A100" s="107"/>
      <c r="B100" s="105"/>
      <c r="C100" s="106"/>
      <c r="D100" s="105"/>
      <c r="E100" s="105"/>
      <c r="F100" s="107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4.25" customHeight="1">
      <c r="A101" s="107"/>
      <c r="B101" s="105"/>
      <c r="C101" s="106"/>
      <c r="D101" s="105"/>
      <c r="E101" s="105"/>
      <c r="F101" s="107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4.25" customHeight="1">
      <c r="A102" s="107"/>
      <c r="B102" s="105"/>
      <c r="C102" s="106"/>
      <c r="D102" s="105"/>
      <c r="E102" s="105"/>
      <c r="F102" s="107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4.25" customHeight="1">
      <c r="A103" s="107"/>
      <c r="B103" s="105"/>
      <c r="C103" s="106"/>
      <c r="D103" s="105"/>
      <c r="E103" s="105"/>
      <c r="F103" s="107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4.25" customHeight="1">
      <c r="A104" s="107"/>
      <c r="B104" s="105"/>
      <c r="C104" s="106"/>
      <c r="D104" s="105"/>
      <c r="E104" s="105"/>
      <c r="F104" s="107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4.25" customHeight="1">
      <c r="A105" s="107"/>
      <c r="B105" s="105"/>
      <c r="C105" s="106"/>
      <c r="D105" s="105"/>
      <c r="E105" s="105"/>
      <c r="F105" s="107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4.25" customHeight="1">
      <c r="A106" s="107"/>
      <c r="B106" s="105"/>
      <c r="C106" s="106"/>
      <c r="D106" s="105"/>
      <c r="E106" s="105"/>
      <c r="F106" s="107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4.25" customHeight="1">
      <c r="A107" s="107"/>
      <c r="B107" s="105"/>
      <c r="C107" s="106"/>
      <c r="D107" s="105"/>
      <c r="E107" s="105"/>
      <c r="F107" s="107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4.25" customHeight="1">
      <c r="A108" s="107"/>
      <c r="B108" s="105"/>
      <c r="C108" s="106"/>
      <c r="D108" s="105"/>
      <c r="E108" s="105"/>
      <c r="F108" s="107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4.25" customHeight="1">
      <c r="A109" s="107"/>
      <c r="B109" s="105"/>
      <c r="C109" s="106"/>
      <c r="D109" s="105"/>
      <c r="E109" s="105"/>
      <c r="F109" s="107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4.25" customHeight="1">
      <c r="A110" s="107"/>
      <c r="B110" s="105"/>
      <c r="C110" s="106"/>
      <c r="D110" s="105"/>
      <c r="E110" s="105"/>
      <c r="F110" s="107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4.25" customHeight="1">
      <c r="A111" s="107"/>
      <c r="B111" s="105"/>
      <c r="C111" s="106"/>
      <c r="D111" s="105"/>
      <c r="E111" s="105"/>
      <c r="F111" s="107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4.25" customHeight="1">
      <c r="A112" s="107"/>
      <c r="B112" s="105"/>
      <c r="C112" s="106"/>
      <c r="D112" s="105"/>
      <c r="E112" s="105"/>
      <c r="F112" s="107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4.25" customHeight="1">
      <c r="A113" s="107"/>
      <c r="B113" s="105"/>
      <c r="C113" s="106"/>
      <c r="D113" s="105"/>
      <c r="E113" s="105"/>
      <c r="F113" s="107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4.25" customHeight="1">
      <c r="A114" s="107"/>
      <c r="B114" s="105"/>
      <c r="C114" s="106"/>
      <c r="D114" s="105"/>
      <c r="E114" s="105"/>
      <c r="F114" s="107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4.25" customHeight="1">
      <c r="A115" s="107"/>
      <c r="B115" s="105"/>
      <c r="C115" s="106"/>
      <c r="D115" s="105"/>
      <c r="E115" s="105"/>
      <c r="F115" s="107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4.25" customHeight="1">
      <c r="A116" s="107"/>
      <c r="B116" s="105"/>
      <c r="C116" s="106"/>
      <c r="D116" s="105"/>
      <c r="E116" s="105"/>
      <c r="F116" s="107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4.25" customHeight="1">
      <c r="A117" s="107"/>
      <c r="B117" s="105"/>
      <c r="C117" s="106"/>
      <c r="D117" s="105"/>
      <c r="E117" s="105"/>
      <c r="F117" s="107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4.25" customHeight="1">
      <c r="A118" s="107"/>
      <c r="B118" s="105"/>
      <c r="C118" s="106"/>
      <c r="D118" s="105"/>
      <c r="E118" s="105"/>
      <c r="F118" s="107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4.25" customHeight="1">
      <c r="A119" s="107"/>
      <c r="B119" s="105"/>
      <c r="C119" s="106"/>
      <c r="D119" s="105"/>
      <c r="E119" s="105"/>
      <c r="F119" s="107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4.25" customHeight="1">
      <c r="A120" s="107"/>
      <c r="B120" s="105"/>
      <c r="C120" s="106"/>
      <c r="D120" s="105"/>
      <c r="E120" s="105"/>
      <c r="F120" s="107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4.25" customHeight="1">
      <c r="A121" s="107"/>
      <c r="B121" s="105"/>
      <c r="C121" s="106"/>
      <c r="D121" s="105"/>
      <c r="E121" s="105"/>
      <c r="F121" s="107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4.25" customHeight="1">
      <c r="A122" s="107"/>
      <c r="B122" s="105"/>
      <c r="C122" s="106"/>
      <c r="D122" s="105"/>
      <c r="E122" s="105"/>
      <c r="F122" s="107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4.25" customHeight="1">
      <c r="A123" s="107"/>
      <c r="B123" s="105"/>
      <c r="C123" s="106"/>
      <c r="D123" s="105"/>
      <c r="E123" s="105"/>
      <c r="F123" s="107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4.25" customHeight="1">
      <c r="A124" s="107"/>
      <c r="B124" s="105"/>
      <c r="C124" s="106"/>
      <c r="D124" s="105"/>
      <c r="E124" s="105"/>
      <c r="F124" s="107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4.25" customHeight="1">
      <c r="A125" s="107"/>
      <c r="B125" s="105"/>
      <c r="C125" s="106"/>
      <c r="D125" s="105"/>
      <c r="E125" s="105"/>
      <c r="F125" s="107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4.25" customHeight="1">
      <c r="A126" s="107"/>
      <c r="B126" s="105"/>
      <c r="C126" s="106"/>
      <c r="D126" s="105"/>
      <c r="E126" s="105"/>
      <c r="F126" s="107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4.25" customHeight="1">
      <c r="A127" s="107"/>
      <c r="B127" s="105"/>
      <c r="C127" s="106"/>
      <c r="D127" s="105"/>
      <c r="E127" s="105"/>
      <c r="F127" s="107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4.25" customHeight="1">
      <c r="A128" s="107"/>
      <c r="B128" s="105"/>
      <c r="C128" s="106"/>
      <c r="D128" s="105"/>
      <c r="E128" s="105"/>
      <c r="F128" s="107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4.25" customHeight="1">
      <c r="A129" s="107"/>
      <c r="B129" s="105"/>
      <c r="C129" s="106"/>
      <c r="D129" s="105"/>
      <c r="E129" s="105"/>
      <c r="F129" s="107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4.25" customHeight="1">
      <c r="A130" s="107"/>
      <c r="B130" s="105"/>
      <c r="C130" s="106"/>
      <c r="D130" s="105"/>
      <c r="E130" s="105"/>
      <c r="F130" s="107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4.25" customHeight="1">
      <c r="A131" s="107"/>
      <c r="B131" s="105"/>
      <c r="C131" s="106"/>
      <c r="D131" s="105"/>
      <c r="E131" s="105"/>
      <c r="F131" s="107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4.25" customHeight="1">
      <c r="A132" s="107"/>
      <c r="B132" s="105"/>
      <c r="C132" s="106"/>
      <c r="D132" s="105"/>
      <c r="E132" s="105"/>
      <c r="F132" s="107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4.25" customHeight="1">
      <c r="A133" s="107"/>
      <c r="B133" s="105"/>
      <c r="C133" s="106"/>
      <c r="D133" s="105"/>
      <c r="E133" s="105"/>
      <c r="F133" s="107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4.25" customHeight="1">
      <c r="A134" s="107"/>
      <c r="B134" s="105"/>
      <c r="C134" s="106"/>
      <c r="D134" s="105"/>
      <c r="E134" s="105"/>
      <c r="F134" s="107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4.25" customHeight="1">
      <c r="A135" s="107"/>
      <c r="B135" s="105"/>
      <c r="C135" s="106"/>
      <c r="D135" s="105"/>
      <c r="E135" s="105"/>
      <c r="F135" s="107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4.25" customHeight="1">
      <c r="A136" s="107"/>
      <c r="B136" s="105"/>
      <c r="C136" s="106"/>
      <c r="D136" s="105"/>
      <c r="E136" s="105"/>
      <c r="F136" s="107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4.25" customHeight="1">
      <c r="A137" s="107"/>
      <c r="B137" s="105"/>
      <c r="C137" s="106"/>
      <c r="D137" s="105"/>
      <c r="E137" s="105"/>
      <c r="F137" s="107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4.25" customHeight="1">
      <c r="A138" s="107"/>
      <c r="B138" s="105"/>
      <c r="C138" s="106"/>
      <c r="D138" s="105"/>
      <c r="E138" s="105"/>
      <c r="F138" s="107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4.25" customHeight="1">
      <c r="A139" s="107"/>
      <c r="B139" s="105"/>
      <c r="C139" s="106"/>
      <c r="D139" s="105"/>
      <c r="E139" s="105"/>
      <c r="F139" s="107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4.25" customHeight="1">
      <c r="A140" s="107"/>
      <c r="B140" s="105"/>
      <c r="C140" s="106"/>
      <c r="D140" s="105"/>
      <c r="E140" s="105"/>
      <c r="F140" s="107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4.25" customHeight="1">
      <c r="A141" s="107"/>
      <c r="B141" s="105"/>
      <c r="C141" s="106"/>
      <c r="D141" s="105"/>
      <c r="E141" s="105"/>
      <c r="F141" s="107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4.25" customHeight="1">
      <c r="A142" s="107"/>
      <c r="B142" s="105"/>
      <c r="C142" s="106"/>
      <c r="D142" s="105"/>
      <c r="E142" s="105"/>
      <c r="F142" s="107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4.25" customHeight="1">
      <c r="A143" s="107"/>
      <c r="B143" s="105"/>
      <c r="C143" s="106"/>
      <c r="D143" s="105"/>
      <c r="E143" s="105"/>
      <c r="F143" s="107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4.25" customHeight="1">
      <c r="A144" s="107"/>
      <c r="B144" s="105"/>
      <c r="C144" s="106"/>
      <c r="D144" s="105"/>
      <c r="E144" s="105"/>
      <c r="F144" s="107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4.25" customHeight="1">
      <c r="A145" s="107"/>
      <c r="B145" s="105"/>
      <c r="C145" s="106"/>
      <c r="D145" s="105"/>
      <c r="E145" s="105"/>
      <c r="F145" s="107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4.25" customHeight="1">
      <c r="A146" s="107"/>
      <c r="B146" s="105"/>
      <c r="C146" s="106"/>
      <c r="D146" s="105"/>
      <c r="E146" s="105"/>
      <c r="F146" s="107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4.25" customHeight="1">
      <c r="A147" s="107"/>
      <c r="B147" s="105"/>
      <c r="C147" s="106"/>
      <c r="D147" s="105"/>
      <c r="E147" s="105"/>
      <c r="F147" s="107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4.25" customHeight="1">
      <c r="A148" s="107"/>
      <c r="B148" s="105"/>
      <c r="C148" s="106"/>
      <c r="D148" s="105"/>
      <c r="E148" s="105"/>
      <c r="F148" s="107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4.25" customHeight="1">
      <c r="A149" s="107"/>
      <c r="B149" s="105"/>
      <c r="C149" s="106"/>
      <c r="D149" s="105"/>
      <c r="E149" s="105"/>
      <c r="F149" s="107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4.25" customHeight="1">
      <c r="A150" s="107"/>
      <c r="B150" s="105"/>
      <c r="C150" s="106"/>
      <c r="D150" s="105"/>
      <c r="E150" s="105"/>
      <c r="F150" s="107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4.25" customHeight="1">
      <c r="A151" s="107"/>
      <c r="B151" s="105"/>
      <c r="C151" s="106"/>
      <c r="D151" s="105"/>
      <c r="E151" s="105"/>
      <c r="F151" s="107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4.25" customHeight="1">
      <c r="A152" s="107"/>
      <c r="B152" s="105"/>
      <c r="C152" s="106"/>
      <c r="D152" s="105"/>
      <c r="E152" s="105"/>
      <c r="F152" s="107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4.25" customHeight="1">
      <c r="A153" s="107"/>
      <c r="B153" s="105"/>
      <c r="C153" s="106"/>
      <c r="D153" s="105"/>
      <c r="E153" s="105"/>
      <c r="F153" s="107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4.25" customHeight="1">
      <c r="A154" s="107"/>
      <c r="B154" s="105"/>
      <c r="C154" s="106"/>
      <c r="D154" s="105"/>
      <c r="E154" s="105"/>
      <c r="F154" s="107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4.25" customHeight="1">
      <c r="A155" s="107"/>
      <c r="B155" s="105"/>
      <c r="C155" s="106"/>
      <c r="D155" s="105"/>
      <c r="E155" s="105"/>
      <c r="F155" s="107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4.25" customHeight="1">
      <c r="A156" s="107"/>
      <c r="B156" s="105"/>
      <c r="C156" s="106"/>
      <c r="D156" s="105"/>
      <c r="E156" s="105"/>
      <c r="F156" s="107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4.25" customHeight="1">
      <c r="A157" s="107"/>
      <c r="B157" s="105"/>
      <c r="C157" s="106"/>
      <c r="D157" s="105"/>
      <c r="E157" s="105"/>
      <c r="F157" s="107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4.25" customHeight="1">
      <c r="A158" s="107"/>
      <c r="B158" s="105"/>
      <c r="C158" s="106"/>
      <c r="D158" s="105"/>
      <c r="E158" s="105"/>
      <c r="F158" s="107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4.25" customHeight="1">
      <c r="A159" s="107"/>
      <c r="B159" s="105"/>
      <c r="C159" s="106"/>
      <c r="D159" s="105"/>
      <c r="E159" s="105"/>
      <c r="F159" s="107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4.25" customHeight="1">
      <c r="A160" s="107"/>
      <c r="B160" s="105"/>
      <c r="C160" s="106"/>
      <c r="D160" s="105"/>
      <c r="E160" s="105"/>
      <c r="F160" s="107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4.25" customHeight="1">
      <c r="A161" s="107"/>
      <c r="B161" s="105"/>
      <c r="C161" s="106"/>
      <c r="D161" s="105"/>
      <c r="E161" s="105"/>
      <c r="F161" s="107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4.25" customHeight="1">
      <c r="A162" s="107"/>
      <c r="B162" s="105"/>
      <c r="C162" s="106"/>
      <c r="D162" s="105"/>
      <c r="E162" s="105"/>
      <c r="F162" s="107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4.25" customHeight="1">
      <c r="A163" s="107"/>
      <c r="B163" s="105"/>
      <c r="C163" s="106"/>
      <c r="D163" s="105"/>
      <c r="E163" s="105"/>
      <c r="F163" s="107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4.25" customHeight="1">
      <c r="A164" s="107"/>
      <c r="B164" s="105"/>
      <c r="C164" s="106"/>
      <c r="D164" s="105"/>
      <c r="E164" s="105"/>
      <c r="F164" s="107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4.25" customHeight="1">
      <c r="A165" s="107"/>
      <c r="B165" s="105"/>
      <c r="C165" s="106"/>
      <c r="D165" s="105"/>
      <c r="E165" s="105"/>
      <c r="F165" s="107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4.25" customHeight="1">
      <c r="A166" s="107"/>
      <c r="B166" s="105"/>
      <c r="C166" s="106"/>
      <c r="D166" s="105"/>
      <c r="E166" s="105"/>
      <c r="F166" s="107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4.25" customHeight="1">
      <c r="A167" s="107"/>
      <c r="B167" s="105"/>
      <c r="C167" s="106"/>
      <c r="D167" s="105"/>
      <c r="E167" s="105"/>
      <c r="F167" s="107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4.25" customHeight="1">
      <c r="A168" s="107"/>
      <c r="B168" s="105"/>
      <c r="C168" s="106"/>
      <c r="D168" s="105"/>
      <c r="E168" s="105"/>
      <c r="F168" s="107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4.25" customHeight="1">
      <c r="A169" s="107"/>
      <c r="B169" s="105"/>
      <c r="C169" s="106"/>
      <c r="D169" s="105"/>
      <c r="E169" s="105"/>
      <c r="F169" s="107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4.25" customHeight="1">
      <c r="A170" s="107"/>
      <c r="B170" s="105"/>
      <c r="C170" s="106"/>
      <c r="D170" s="105"/>
      <c r="E170" s="105"/>
      <c r="F170" s="107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4.25" customHeight="1">
      <c r="A171" s="107"/>
      <c r="B171" s="105"/>
      <c r="C171" s="106"/>
      <c r="D171" s="105"/>
      <c r="E171" s="105"/>
      <c r="F171" s="107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4.25" customHeight="1">
      <c r="A172" s="107"/>
      <c r="B172" s="105"/>
      <c r="C172" s="106"/>
      <c r="D172" s="105"/>
      <c r="E172" s="105"/>
      <c r="F172" s="107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4.25" customHeight="1">
      <c r="A173" s="107"/>
      <c r="B173" s="105"/>
      <c r="C173" s="106"/>
      <c r="D173" s="105"/>
      <c r="E173" s="105"/>
      <c r="F173" s="107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4.25" customHeight="1">
      <c r="A174" s="107"/>
      <c r="B174" s="105"/>
      <c r="C174" s="106"/>
      <c r="D174" s="105"/>
      <c r="E174" s="105"/>
      <c r="F174" s="107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4.25" customHeight="1">
      <c r="A175" s="107"/>
      <c r="B175" s="105"/>
      <c r="C175" s="106"/>
      <c r="D175" s="105"/>
      <c r="E175" s="105"/>
      <c r="F175" s="107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4.25" customHeight="1">
      <c r="A176" s="107"/>
      <c r="B176" s="105"/>
      <c r="C176" s="106"/>
      <c r="D176" s="105"/>
      <c r="E176" s="105"/>
      <c r="F176" s="107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4.25" customHeight="1">
      <c r="A177" s="107"/>
      <c r="B177" s="105"/>
      <c r="C177" s="106"/>
      <c r="D177" s="105"/>
      <c r="E177" s="105"/>
      <c r="F177" s="107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4.25" customHeight="1">
      <c r="A178" s="107"/>
      <c r="B178" s="105"/>
      <c r="C178" s="106"/>
      <c r="D178" s="105"/>
      <c r="E178" s="105"/>
      <c r="F178" s="107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4.25" customHeight="1">
      <c r="A179" s="107"/>
      <c r="B179" s="105"/>
      <c r="C179" s="106"/>
      <c r="D179" s="105"/>
      <c r="E179" s="105"/>
      <c r="F179" s="107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4.25" customHeight="1">
      <c r="A180" s="107"/>
      <c r="B180" s="105"/>
      <c r="C180" s="106"/>
      <c r="D180" s="105"/>
      <c r="E180" s="105"/>
      <c r="F180" s="107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4.25" customHeight="1">
      <c r="A181" s="107"/>
      <c r="B181" s="105"/>
      <c r="C181" s="106"/>
      <c r="D181" s="105"/>
      <c r="E181" s="105"/>
      <c r="F181" s="107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4.25" customHeight="1">
      <c r="A182" s="107"/>
      <c r="B182" s="105"/>
      <c r="C182" s="106"/>
      <c r="D182" s="105"/>
      <c r="E182" s="105"/>
      <c r="F182" s="107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4.25" customHeight="1">
      <c r="A183" s="107"/>
      <c r="B183" s="105"/>
      <c r="C183" s="106"/>
      <c r="D183" s="105"/>
      <c r="E183" s="105"/>
      <c r="F183" s="107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4.25" customHeight="1">
      <c r="A184" s="107"/>
      <c r="B184" s="105"/>
      <c r="C184" s="106"/>
      <c r="D184" s="105"/>
      <c r="E184" s="105"/>
      <c r="F184" s="107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4.25" customHeight="1">
      <c r="A185" s="107"/>
      <c r="B185" s="105"/>
      <c r="C185" s="106"/>
      <c r="D185" s="105"/>
      <c r="E185" s="105"/>
      <c r="F185" s="107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4.25" customHeight="1">
      <c r="A186" s="107"/>
      <c r="B186" s="105"/>
      <c r="C186" s="106"/>
      <c r="D186" s="105"/>
      <c r="E186" s="105"/>
      <c r="F186" s="107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4.25" customHeight="1">
      <c r="A187" s="107"/>
      <c r="B187" s="105"/>
      <c r="C187" s="106"/>
      <c r="D187" s="105"/>
      <c r="E187" s="105"/>
      <c r="F187" s="107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4.25" customHeight="1">
      <c r="A188" s="107"/>
      <c r="B188" s="105"/>
      <c r="C188" s="106"/>
      <c r="D188" s="105"/>
      <c r="E188" s="105"/>
      <c r="F188" s="107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4.25" customHeight="1">
      <c r="A189" s="107"/>
      <c r="B189" s="105"/>
      <c r="C189" s="106"/>
      <c r="D189" s="105"/>
      <c r="E189" s="105"/>
      <c r="F189" s="107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4.25" customHeight="1">
      <c r="A190" s="107"/>
      <c r="B190" s="105"/>
      <c r="C190" s="106"/>
      <c r="D190" s="105"/>
      <c r="E190" s="105"/>
      <c r="F190" s="107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4.25" customHeight="1">
      <c r="A191" s="107"/>
      <c r="B191" s="105"/>
      <c r="C191" s="106"/>
      <c r="D191" s="105"/>
      <c r="E191" s="105"/>
      <c r="F191" s="107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4.25" customHeight="1">
      <c r="A192" s="107"/>
      <c r="B192" s="105"/>
      <c r="C192" s="106"/>
      <c r="D192" s="105"/>
      <c r="E192" s="105"/>
      <c r="F192" s="107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4.25" customHeight="1">
      <c r="A193" s="107"/>
      <c r="B193" s="105"/>
      <c r="C193" s="106"/>
      <c r="D193" s="105"/>
      <c r="E193" s="105"/>
      <c r="F193" s="107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4.25" customHeight="1">
      <c r="A194" s="107"/>
      <c r="B194" s="105"/>
      <c r="C194" s="106"/>
      <c r="D194" s="105"/>
      <c r="E194" s="105"/>
      <c r="F194" s="107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4.25" customHeight="1">
      <c r="A195" s="107"/>
      <c r="B195" s="105"/>
      <c r="C195" s="106"/>
      <c r="D195" s="105"/>
      <c r="E195" s="105"/>
      <c r="F195" s="107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4.25" customHeight="1">
      <c r="A196" s="107"/>
      <c r="B196" s="105"/>
      <c r="C196" s="106"/>
      <c r="D196" s="105"/>
      <c r="E196" s="105"/>
      <c r="F196" s="107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4.25" customHeight="1">
      <c r="A197" s="107"/>
      <c r="B197" s="105"/>
      <c r="C197" s="106"/>
      <c r="D197" s="105"/>
      <c r="E197" s="105"/>
      <c r="F197" s="107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4.25" customHeight="1">
      <c r="A198" s="107"/>
      <c r="B198" s="105"/>
      <c r="C198" s="106"/>
      <c r="D198" s="105"/>
      <c r="E198" s="105"/>
      <c r="F198" s="107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4.25" customHeight="1">
      <c r="A199" s="107"/>
      <c r="B199" s="105"/>
      <c r="C199" s="106"/>
      <c r="D199" s="105"/>
      <c r="E199" s="105"/>
      <c r="F199" s="107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4.25" customHeight="1">
      <c r="A200" s="107"/>
      <c r="B200" s="105"/>
      <c r="C200" s="106"/>
      <c r="D200" s="105"/>
      <c r="E200" s="105"/>
      <c r="F200" s="107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4.25" customHeight="1">
      <c r="A201" s="107"/>
      <c r="B201" s="105"/>
      <c r="C201" s="106"/>
      <c r="D201" s="105"/>
      <c r="E201" s="105"/>
      <c r="F201" s="107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4.25" customHeight="1">
      <c r="A202" s="107"/>
      <c r="B202" s="105"/>
      <c r="C202" s="106"/>
      <c r="D202" s="105"/>
      <c r="E202" s="105"/>
      <c r="F202" s="107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4.25" customHeight="1">
      <c r="A203" s="107"/>
      <c r="B203" s="105"/>
      <c r="C203" s="106"/>
      <c r="D203" s="105"/>
      <c r="E203" s="105"/>
      <c r="F203" s="107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4.25" customHeight="1">
      <c r="A204" s="107"/>
      <c r="B204" s="105"/>
      <c r="C204" s="106"/>
      <c r="D204" s="105"/>
      <c r="E204" s="105"/>
      <c r="F204" s="107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4.25" customHeight="1">
      <c r="A205" s="107"/>
      <c r="B205" s="105"/>
      <c r="C205" s="106"/>
      <c r="D205" s="105"/>
      <c r="E205" s="105"/>
      <c r="F205" s="107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4.25" customHeight="1">
      <c r="A206" s="107"/>
      <c r="B206" s="105"/>
      <c r="C206" s="106"/>
      <c r="D206" s="105"/>
      <c r="E206" s="105"/>
      <c r="F206" s="107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4.25" customHeight="1">
      <c r="A207" s="107"/>
      <c r="B207" s="105"/>
      <c r="C207" s="106"/>
      <c r="D207" s="105"/>
      <c r="E207" s="105"/>
      <c r="F207" s="107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4.25" customHeight="1">
      <c r="A208" s="107"/>
      <c r="B208" s="105"/>
      <c r="C208" s="106"/>
      <c r="D208" s="105"/>
      <c r="E208" s="105"/>
      <c r="F208" s="107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4.25" customHeight="1">
      <c r="A209" s="107"/>
      <c r="B209" s="105"/>
      <c r="C209" s="106"/>
      <c r="D209" s="105"/>
      <c r="E209" s="105"/>
      <c r="F209" s="107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4.25" customHeight="1">
      <c r="A210" s="107"/>
      <c r="B210" s="105"/>
      <c r="C210" s="106"/>
      <c r="D210" s="105"/>
      <c r="E210" s="105"/>
      <c r="F210" s="107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4.25" customHeight="1">
      <c r="A211" s="107"/>
      <c r="B211" s="105"/>
      <c r="C211" s="106"/>
      <c r="D211" s="105"/>
      <c r="E211" s="105"/>
      <c r="F211" s="107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4.25" customHeight="1">
      <c r="A212" s="107"/>
      <c r="B212" s="105"/>
      <c r="C212" s="106"/>
      <c r="D212" s="105"/>
      <c r="E212" s="105"/>
      <c r="F212" s="107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4.25" customHeight="1">
      <c r="A213" s="107"/>
      <c r="B213" s="105"/>
      <c r="C213" s="106"/>
      <c r="D213" s="105"/>
      <c r="E213" s="105"/>
      <c r="F213" s="107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4.25" customHeight="1">
      <c r="A214" s="107"/>
      <c r="B214" s="105"/>
      <c r="C214" s="106"/>
      <c r="D214" s="105"/>
      <c r="E214" s="105"/>
      <c r="F214" s="107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4.25" customHeight="1">
      <c r="A215" s="107"/>
      <c r="B215" s="105"/>
      <c r="C215" s="106"/>
      <c r="D215" s="105"/>
      <c r="E215" s="105"/>
      <c r="F215" s="107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4.25" customHeight="1">
      <c r="A216" s="107"/>
      <c r="B216" s="105"/>
      <c r="C216" s="106"/>
      <c r="D216" s="105"/>
      <c r="E216" s="105"/>
      <c r="F216" s="107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4.25" customHeight="1">
      <c r="A217" s="107"/>
      <c r="B217" s="105"/>
      <c r="C217" s="106"/>
      <c r="D217" s="105"/>
      <c r="E217" s="105"/>
      <c r="F217" s="107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4.25" customHeight="1">
      <c r="A218" s="107"/>
      <c r="B218" s="105"/>
      <c r="C218" s="106"/>
      <c r="D218" s="105"/>
      <c r="E218" s="105"/>
      <c r="F218" s="107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4.25" customHeight="1">
      <c r="A219" s="107"/>
      <c r="B219" s="105"/>
      <c r="C219" s="106"/>
      <c r="D219" s="105"/>
      <c r="E219" s="105"/>
      <c r="F219" s="107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4.25" customHeight="1">
      <c r="A220" s="107"/>
      <c r="B220" s="105"/>
      <c r="C220" s="106"/>
      <c r="D220" s="105"/>
      <c r="E220" s="105"/>
      <c r="F220" s="107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4.25" customHeight="1">
      <c r="A221" s="107"/>
      <c r="B221" s="105"/>
      <c r="C221" s="106"/>
      <c r="D221" s="105"/>
      <c r="E221" s="105"/>
      <c r="F221" s="107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4.25" customHeight="1">
      <c r="A222" s="107"/>
      <c r="B222" s="105"/>
      <c r="C222" s="106"/>
      <c r="D222" s="105"/>
      <c r="E222" s="105"/>
      <c r="F222" s="107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4.25" customHeight="1">
      <c r="A223" s="107"/>
      <c r="B223" s="105"/>
      <c r="C223" s="106"/>
      <c r="D223" s="105"/>
      <c r="E223" s="105"/>
      <c r="F223" s="107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4.25" customHeight="1">
      <c r="A224" s="107"/>
      <c r="B224" s="105"/>
      <c r="C224" s="106"/>
      <c r="D224" s="105"/>
      <c r="E224" s="105"/>
      <c r="F224" s="107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4.25" customHeight="1">
      <c r="A225" s="107"/>
      <c r="B225" s="105"/>
      <c r="C225" s="106"/>
      <c r="D225" s="105"/>
      <c r="E225" s="105"/>
      <c r="F225" s="107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4.25" customHeight="1">
      <c r="A226" s="107"/>
      <c r="B226" s="105"/>
      <c r="C226" s="106"/>
      <c r="D226" s="105"/>
      <c r="E226" s="105"/>
      <c r="F226" s="107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4.25" customHeight="1">
      <c r="A227" s="107"/>
      <c r="B227" s="105"/>
      <c r="C227" s="106"/>
      <c r="D227" s="105"/>
      <c r="E227" s="105"/>
      <c r="F227" s="107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4.25" customHeight="1">
      <c r="A228" s="107"/>
      <c r="B228" s="105"/>
      <c r="C228" s="106"/>
      <c r="D228" s="105"/>
      <c r="E228" s="105"/>
      <c r="F228" s="107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4.25" customHeight="1">
      <c r="A229" s="107"/>
      <c r="B229" s="105"/>
      <c r="C229" s="106"/>
      <c r="D229" s="105"/>
      <c r="E229" s="105"/>
      <c r="F229" s="107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4.25" customHeight="1">
      <c r="A230" s="107"/>
      <c r="B230" s="105"/>
      <c r="C230" s="106"/>
      <c r="D230" s="105"/>
      <c r="E230" s="105"/>
      <c r="F230" s="107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4.25" customHeight="1">
      <c r="A231" s="107"/>
      <c r="B231" s="105"/>
      <c r="C231" s="106"/>
      <c r="D231" s="105"/>
      <c r="E231" s="105"/>
      <c r="F231" s="107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4.25" customHeight="1">
      <c r="A232" s="107"/>
      <c r="B232" s="105"/>
      <c r="C232" s="106"/>
      <c r="D232" s="105"/>
      <c r="E232" s="105"/>
      <c r="F232" s="107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4.25" customHeight="1">
      <c r="A233" s="107"/>
      <c r="B233" s="105"/>
      <c r="C233" s="106"/>
      <c r="D233" s="105"/>
      <c r="E233" s="105"/>
      <c r="F233" s="107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4.25" customHeight="1">
      <c r="A234" s="107"/>
      <c r="B234" s="105"/>
      <c r="C234" s="106"/>
      <c r="D234" s="105"/>
      <c r="E234" s="105"/>
      <c r="F234" s="107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4.25" customHeight="1">
      <c r="A235" s="107"/>
      <c r="B235" s="105"/>
      <c r="C235" s="106"/>
      <c r="D235" s="105"/>
      <c r="E235" s="105"/>
      <c r="F235" s="107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4.25" customHeight="1">
      <c r="A236" s="107"/>
      <c r="B236" s="105"/>
      <c r="C236" s="106"/>
      <c r="D236" s="105"/>
      <c r="E236" s="105"/>
      <c r="F236" s="107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4.25" customHeight="1">
      <c r="A237" s="107"/>
      <c r="B237" s="105"/>
      <c r="C237" s="106"/>
      <c r="D237" s="105"/>
      <c r="E237" s="105"/>
      <c r="F237" s="107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4.25" customHeight="1">
      <c r="A238" s="107"/>
      <c r="B238" s="105"/>
      <c r="C238" s="106"/>
      <c r="D238" s="105"/>
      <c r="E238" s="105"/>
      <c r="F238" s="107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4.25" customHeight="1">
      <c r="A239" s="107"/>
      <c r="B239" s="105"/>
      <c r="C239" s="106"/>
      <c r="D239" s="105"/>
      <c r="E239" s="105"/>
      <c r="F239" s="107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4.25" customHeight="1">
      <c r="A240" s="107"/>
      <c r="B240" s="105"/>
      <c r="C240" s="106"/>
      <c r="D240" s="105"/>
      <c r="E240" s="105"/>
      <c r="F240" s="107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4.25" customHeight="1">
      <c r="A241" s="107"/>
      <c r="B241" s="105"/>
      <c r="C241" s="106"/>
      <c r="D241" s="105"/>
      <c r="E241" s="105"/>
      <c r="F241" s="107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4.25" customHeight="1">
      <c r="A242" s="107"/>
      <c r="B242" s="105"/>
      <c r="C242" s="106"/>
      <c r="D242" s="105"/>
      <c r="E242" s="105"/>
      <c r="F242" s="107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4.25" customHeight="1">
      <c r="A243" s="107"/>
      <c r="B243" s="105"/>
      <c r="C243" s="106"/>
      <c r="D243" s="105"/>
      <c r="E243" s="105"/>
      <c r="F243" s="107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4.25" customHeight="1">
      <c r="A244" s="107"/>
      <c r="B244" s="105"/>
      <c r="C244" s="106"/>
      <c r="D244" s="105"/>
      <c r="E244" s="105"/>
      <c r="F244" s="107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4.25" customHeight="1">
      <c r="A245" s="107"/>
      <c r="B245" s="105"/>
      <c r="C245" s="106"/>
      <c r="D245" s="105"/>
      <c r="E245" s="105"/>
      <c r="F245" s="107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4.25" customHeight="1">
      <c r="A246" s="107"/>
      <c r="B246" s="105"/>
      <c r="C246" s="106"/>
      <c r="D246" s="105"/>
      <c r="E246" s="105"/>
      <c r="F246" s="107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4.25" customHeight="1">
      <c r="A247" s="107"/>
      <c r="B247" s="105"/>
      <c r="C247" s="106"/>
      <c r="D247" s="105"/>
      <c r="E247" s="105"/>
      <c r="F247" s="107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4.25" customHeight="1">
      <c r="A248" s="107"/>
      <c r="B248" s="105"/>
      <c r="C248" s="106"/>
      <c r="D248" s="105"/>
      <c r="E248" s="105"/>
      <c r="F248" s="107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4.25" customHeight="1">
      <c r="A249" s="107"/>
      <c r="B249" s="105"/>
      <c r="C249" s="106"/>
      <c r="D249" s="105"/>
      <c r="E249" s="105"/>
      <c r="F249" s="107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4.25" customHeight="1">
      <c r="A250" s="107"/>
      <c r="B250" s="105"/>
      <c r="C250" s="106"/>
      <c r="D250" s="105"/>
      <c r="E250" s="105"/>
      <c r="F250" s="107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4.25" customHeight="1">
      <c r="A251" s="107"/>
      <c r="B251" s="105"/>
      <c r="C251" s="106"/>
      <c r="D251" s="105"/>
      <c r="E251" s="105"/>
      <c r="F251" s="107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4.25" customHeight="1">
      <c r="A252" s="107"/>
      <c r="B252" s="105"/>
      <c r="C252" s="106"/>
      <c r="D252" s="105"/>
      <c r="E252" s="105"/>
      <c r="F252" s="107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4.25" customHeight="1">
      <c r="A253" s="107"/>
      <c r="B253" s="105"/>
      <c r="C253" s="106"/>
      <c r="D253" s="105"/>
      <c r="E253" s="105"/>
      <c r="F253" s="107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4.25" customHeight="1">
      <c r="A254" s="107"/>
      <c r="B254" s="105"/>
      <c r="C254" s="106"/>
      <c r="D254" s="105"/>
      <c r="E254" s="105"/>
      <c r="F254" s="107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4.25" customHeight="1">
      <c r="A255" s="107"/>
      <c r="B255" s="105"/>
      <c r="C255" s="106"/>
      <c r="D255" s="105"/>
      <c r="E255" s="105"/>
      <c r="F255" s="107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4.25" customHeight="1">
      <c r="A256" s="107"/>
      <c r="B256" s="105"/>
      <c r="C256" s="106"/>
      <c r="D256" s="105"/>
      <c r="E256" s="105"/>
      <c r="F256" s="107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4.25" customHeight="1">
      <c r="A257" s="107"/>
      <c r="B257" s="105"/>
      <c r="C257" s="106"/>
      <c r="D257" s="105"/>
      <c r="E257" s="105"/>
      <c r="F257" s="107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4.25" customHeight="1">
      <c r="A258" s="107"/>
      <c r="B258" s="105"/>
      <c r="C258" s="106"/>
      <c r="D258" s="105"/>
      <c r="E258" s="105"/>
      <c r="F258" s="107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4.25" customHeight="1">
      <c r="A259" s="107"/>
      <c r="B259" s="105"/>
      <c r="C259" s="106"/>
      <c r="D259" s="105"/>
      <c r="E259" s="105"/>
      <c r="F259" s="107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4.25" customHeight="1">
      <c r="A260" s="107"/>
      <c r="B260" s="105"/>
      <c r="C260" s="106"/>
      <c r="D260" s="105"/>
      <c r="E260" s="105"/>
      <c r="F260" s="107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4.25" customHeight="1">
      <c r="A261" s="107"/>
      <c r="B261" s="105"/>
      <c r="C261" s="106"/>
      <c r="D261" s="105"/>
      <c r="E261" s="105"/>
      <c r="F261" s="107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4.25" customHeight="1">
      <c r="A262" s="107"/>
      <c r="B262" s="105"/>
      <c r="C262" s="106"/>
      <c r="D262" s="105"/>
      <c r="E262" s="105"/>
      <c r="F262" s="107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4.25" customHeight="1">
      <c r="A263" s="107"/>
      <c r="B263" s="105"/>
      <c r="C263" s="106"/>
      <c r="D263" s="105"/>
      <c r="E263" s="105"/>
      <c r="F263" s="107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4.25" customHeight="1">
      <c r="A264" s="107"/>
      <c r="B264" s="105"/>
      <c r="C264" s="106"/>
      <c r="D264" s="105"/>
      <c r="E264" s="105"/>
      <c r="F264" s="107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4.25" customHeight="1">
      <c r="A265" s="107"/>
      <c r="B265" s="105"/>
      <c r="C265" s="106"/>
      <c r="D265" s="105"/>
      <c r="E265" s="105"/>
      <c r="F265" s="107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4.25" customHeight="1">
      <c r="A266" s="107"/>
      <c r="B266" s="105"/>
      <c r="C266" s="106"/>
      <c r="D266" s="105"/>
      <c r="E266" s="105"/>
      <c r="F266" s="107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4.25" customHeight="1">
      <c r="A267" s="107"/>
      <c r="B267" s="105"/>
      <c r="C267" s="106"/>
      <c r="D267" s="105"/>
      <c r="E267" s="105"/>
      <c r="F267" s="107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4.25" customHeight="1">
      <c r="A268" s="107"/>
      <c r="B268" s="105"/>
      <c r="C268" s="106"/>
      <c r="D268" s="105"/>
      <c r="E268" s="105"/>
      <c r="F268" s="107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4.25" customHeight="1">
      <c r="A269" s="107"/>
      <c r="B269" s="105"/>
      <c r="C269" s="106"/>
      <c r="D269" s="105"/>
      <c r="E269" s="105"/>
      <c r="F269" s="107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4.25" customHeight="1">
      <c r="A270" s="107"/>
      <c r="B270" s="105"/>
      <c r="C270" s="106"/>
      <c r="D270" s="105"/>
      <c r="E270" s="105"/>
      <c r="F270" s="107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4.25" customHeight="1">
      <c r="A271" s="107"/>
      <c r="B271" s="105"/>
      <c r="C271" s="106"/>
      <c r="D271" s="105"/>
      <c r="E271" s="105"/>
      <c r="F271" s="107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4.25" customHeight="1">
      <c r="A272" s="107"/>
      <c r="B272" s="105"/>
      <c r="C272" s="106"/>
      <c r="D272" s="105"/>
      <c r="E272" s="105"/>
      <c r="F272" s="107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4.25" customHeight="1">
      <c r="A273" s="107"/>
      <c r="B273" s="105"/>
      <c r="C273" s="106"/>
      <c r="D273" s="105"/>
      <c r="E273" s="105"/>
      <c r="F273" s="107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4.25" customHeight="1">
      <c r="A274" s="107"/>
      <c r="B274" s="105"/>
      <c r="C274" s="106"/>
      <c r="D274" s="105"/>
      <c r="E274" s="105"/>
      <c r="F274" s="107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4.25" customHeight="1">
      <c r="A275" s="107"/>
      <c r="B275" s="105"/>
      <c r="C275" s="106"/>
      <c r="D275" s="105"/>
      <c r="E275" s="105"/>
      <c r="F275" s="107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4.25" customHeight="1">
      <c r="A276" s="107"/>
      <c r="B276" s="105"/>
      <c r="C276" s="106"/>
      <c r="D276" s="105"/>
      <c r="E276" s="105"/>
      <c r="F276" s="107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4.25" customHeight="1">
      <c r="A277" s="107"/>
      <c r="B277" s="105"/>
      <c r="C277" s="106"/>
      <c r="D277" s="105"/>
      <c r="E277" s="105"/>
      <c r="F277" s="107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4.25" customHeight="1">
      <c r="A278" s="107"/>
      <c r="B278" s="105"/>
      <c r="C278" s="106"/>
      <c r="D278" s="105"/>
      <c r="E278" s="105"/>
      <c r="F278" s="107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4.25" customHeight="1">
      <c r="A279" s="107"/>
      <c r="B279" s="105"/>
      <c r="C279" s="106"/>
      <c r="D279" s="105"/>
      <c r="E279" s="105"/>
      <c r="F279" s="107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4.25" customHeight="1">
      <c r="A280" s="107"/>
      <c r="B280" s="105"/>
      <c r="C280" s="106"/>
      <c r="D280" s="105"/>
      <c r="E280" s="105"/>
      <c r="F280" s="107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4.25" customHeight="1">
      <c r="A281" s="107"/>
      <c r="B281" s="105"/>
      <c r="C281" s="106"/>
      <c r="D281" s="105"/>
      <c r="E281" s="105"/>
      <c r="F281" s="107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4.25" customHeight="1">
      <c r="A282" s="107"/>
      <c r="B282" s="105"/>
      <c r="C282" s="106"/>
      <c r="D282" s="105"/>
      <c r="E282" s="105"/>
      <c r="F282" s="107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4.25" customHeight="1">
      <c r="A283" s="107"/>
      <c r="B283" s="105"/>
      <c r="C283" s="106"/>
      <c r="D283" s="105"/>
      <c r="E283" s="105"/>
      <c r="F283" s="107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4.25" customHeight="1">
      <c r="A284" s="107"/>
      <c r="B284" s="105"/>
      <c r="C284" s="106"/>
      <c r="D284" s="105"/>
      <c r="E284" s="105"/>
      <c r="F284" s="107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4.25" customHeight="1">
      <c r="A285" s="107"/>
      <c r="B285" s="105"/>
      <c r="C285" s="106"/>
      <c r="D285" s="105"/>
      <c r="E285" s="105"/>
      <c r="F285" s="107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4.25" customHeight="1">
      <c r="A286" s="107"/>
      <c r="B286" s="105"/>
      <c r="C286" s="106"/>
      <c r="D286" s="105"/>
      <c r="E286" s="105"/>
      <c r="F286" s="107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4.25" customHeight="1">
      <c r="A287" s="107"/>
      <c r="B287" s="105"/>
      <c r="C287" s="106"/>
      <c r="D287" s="105"/>
      <c r="E287" s="105"/>
      <c r="F287" s="107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4.25" customHeight="1">
      <c r="A288" s="107"/>
      <c r="B288" s="105"/>
      <c r="C288" s="106"/>
      <c r="D288" s="105"/>
      <c r="E288" s="105"/>
      <c r="F288" s="107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4.25" customHeight="1">
      <c r="A289" s="107"/>
      <c r="B289" s="105"/>
      <c r="C289" s="106"/>
      <c r="D289" s="105"/>
      <c r="E289" s="105"/>
      <c r="F289" s="107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4.25" customHeight="1">
      <c r="A290" s="107"/>
      <c r="B290" s="105"/>
      <c r="C290" s="106"/>
      <c r="D290" s="105"/>
      <c r="E290" s="105"/>
      <c r="F290" s="107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4.25" customHeight="1">
      <c r="A291" s="107"/>
      <c r="B291" s="105"/>
      <c r="C291" s="106"/>
      <c r="D291" s="105"/>
      <c r="E291" s="105"/>
      <c r="F291" s="107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4.25" customHeight="1">
      <c r="A292" s="107"/>
      <c r="B292" s="105"/>
      <c r="C292" s="106"/>
      <c r="D292" s="105"/>
      <c r="E292" s="105"/>
      <c r="F292" s="107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4.25" customHeight="1">
      <c r="A293" s="107"/>
      <c r="B293" s="105"/>
      <c r="C293" s="106"/>
      <c r="D293" s="105"/>
      <c r="E293" s="105"/>
      <c r="F293" s="107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4.25" customHeight="1">
      <c r="A294" s="107"/>
      <c r="B294" s="105"/>
      <c r="C294" s="106"/>
      <c r="D294" s="105"/>
      <c r="E294" s="105"/>
      <c r="F294" s="107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4.25" customHeight="1">
      <c r="A295" s="107"/>
      <c r="B295" s="105"/>
      <c r="C295" s="106"/>
      <c r="D295" s="105"/>
      <c r="E295" s="105"/>
      <c r="F295" s="107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4.25" customHeight="1">
      <c r="A296" s="107"/>
      <c r="B296" s="105"/>
      <c r="C296" s="106"/>
      <c r="D296" s="105"/>
      <c r="E296" s="105"/>
      <c r="F296" s="107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4.25" customHeight="1">
      <c r="A297" s="107"/>
      <c r="B297" s="105"/>
      <c r="C297" s="106"/>
      <c r="D297" s="105"/>
      <c r="E297" s="105"/>
      <c r="F297" s="107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4.25" customHeight="1">
      <c r="A298" s="107"/>
      <c r="B298" s="105"/>
      <c r="C298" s="106"/>
      <c r="D298" s="105"/>
      <c r="E298" s="105"/>
      <c r="F298" s="107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4.25" customHeight="1">
      <c r="A299" s="107"/>
      <c r="B299" s="105"/>
      <c r="C299" s="106"/>
      <c r="D299" s="105"/>
      <c r="E299" s="105"/>
      <c r="F299" s="107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4.25" customHeight="1">
      <c r="A300" s="107"/>
      <c r="B300" s="105"/>
      <c r="C300" s="106"/>
      <c r="D300" s="105"/>
      <c r="E300" s="105"/>
      <c r="F300" s="107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4.25" customHeight="1">
      <c r="A301" s="107"/>
      <c r="B301" s="105"/>
      <c r="C301" s="106"/>
      <c r="D301" s="105"/>
      <c r="E301" s="105"/>
      <c r="F301" s="107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4.25" customHeight="1">
      <c r="A302" s="107"/>
      <c r="B302" s="105"/>
      <c r="C302" s="106"/>
      <c r="D302" s="105"/>
      <c r="E302" s="105"/>
      <c r="F302" s="107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4.25" customHeight="1">
      <c r="A303" s="107"/>
      <c r="B303" s="105"/>
      <c r="C303" s="106"/>
      <c r="D303" s="105"/>
      <c r="E303" s="105"/>
      <c r="F303" s="107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4.25" customHeight="1">
      <c r="A304" s="107"/>
      <c r="B304" s="105"/>
      <c r="C304" s="106"/>
      <c r="D304" s="105"/>
      <c r="E304" s="105"/>
      <c r="F304" s="107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4.25" customHeight="1">
      <c r="A305" s="107"/>
      <c r="B305" s="105"/>
      <c r="C305" s="106"/>
      <c r="D305" s="105"/>
      <c r="E305" s="105"/>
      <c r="F305" s="107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4.25" customHeight="1">
      <c r="A306" s="107"/>
      <c r="B306" s="105"/>
      <c r="C306" s="106"/>
      <c r="D306" s="105"/>
      <c r="E306" s="105"/>
      <c r="F306" s="107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4.25" customHeight="1">
      <c r="A307" s="107"/>
      <c r="B307" s="105"/>
      <c r="C307" s="106"/>
      <c r="D307" s="105"/>
      <c r="E307" s="105"/>
      <c r="F307" s="107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4.25" customHeight="1">
      <c r="A308" s="107"/>
      <c r="B308" s="105"/>
      <c r="C308" s="106"/>
      <c r="D308" s="105"/>
      <c r="E308" s="105"/>
      <c r="F308" s="107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4.25" customHeight="1">
      <c r="A309" s="107"/>
      <c r="B309" s="105"/>
      <c r="C309" s="106"/>
      <c r="D309" s="105"/>
      <c r="E309" s="105"/>
      <c r="F309" s="107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4.25" customHeight="1">
      <c r="A310" s="107"/>
      <c r="B310" s="105"/>
      <c r="C310" s="106"/>
      <c r="D310" s="105"/>
      <c r="E310" s="105"/>
      <c r="F310" s="107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4.25" customHeight="1">
      <c r="A311" s="107"/>
      <c r="B311" s="105"/>
      <c r="C311" s="106"/>
      <c r="D311" s="105"/>
      <c r="E311" s="105"/>
      <c r="F311" s="107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4.25" customHeight="1">
      <c r="A312" s="107"/>
      <c r="B312" s="105"/>
      <c r="C312" s="106"/>
      <c r="D312" s="105"/>
      <c r="E312" s="105"/>
      <c r="F312" s="107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4.25" customHeight="1">
      <c r="A313" s="107"/>
      <c r="B313" s="105"/>
      <c r="C313" s="106"/>
      <c r="D313" s="105"/>
      <c r="E313" s="105"/>
      <c r="F313" s="107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4.25" customHeight="1">
      <c r="A314" s="107"/>
      <c r="B314" s="105"/>
      <c r="C314" s="106"/>
      <c r="D314" s="105"/>
      <c r="E314" s="105"/>
      <c r="F314" s="107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4.25" customHeight="1">
      <c r="A315" s="107"/>
      <c r="B315" s="105"/>
      <c r="C315" s="106"/>
      <c r="D315" s="105"/>
      <c r="E315" s="105"/>
      <c r="F315" s="107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4.25" customHeight="1">
      <c r="A316" s="107"/>
      <c r="B316" s="105"/>
      <c r="C316" s="106"/>
      <c r="D316" s="105"/>
      <c r="E316" s="105"/>
      <c r="F316" s="107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4.25" customHeight="1">
      <c r="A317" s="107"/>
      <c r="B317" s="105"/>
      <c r="C317" s="106"/>
      <c r="D317" s="105"/>
      <c r="E317" s="105"/>
      <c r="F317" s="107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4.25" customHeight="1">
      <c r="A318" s="107"/>
      <c r="B318" s="105"/>
      <c r="C318" s="106"/>
      <c r="D318" s="105"/>
      <c r="E318" s="105"/>
      <c r="F318" s="107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4.25" customHeight="1">
      <c r="A319" s="107"/>
      <c r="B319" s="105"/>
      <c r="C319" s="106"/>
      <c r="D319" s="105"/>
      <c r="E319" s="105"/>
      <c r="F319" s="107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4.25" customHeight="1">
      <c r="A320" s="107"/>
      <c r="B320" s="105"/>
      <c r="C320" s="106"/>
      <c r="D320" s="105"/>
      <c r="E320" s="105"/>
      <c r="F320" s="107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4.25" customHeight="1">
      <c r="A321" s="107"/>
      <c r="B321" s="105"/>
      <c r="C321" s="106"/>
      <c r="D321" s="105"/>
      <c r="E321" s="105"/>
      <c r="F321" s="107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4.25" customHeight="1">
      <c r="A322" s="107"/>
      <c r="B322" s="105"/>
      <c r="C322" s="106"/>
      <c r="D322" s="105"/>
      <c r="E322" s="105"/>
      <c r="F322" s="107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4.25" customHeight="1">
      <c r="A323" s="107"/>
      <c r="B323" s="105"/>
      <c r="C323" s="106"/>
      <c r="D323" s="105"/>
      <c r="E323" s="105"/>
      <c r="F323" s="107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4.25" customHeight="1">
      <c r="A324" s="107"/>
      <c r="B324" s="105"/>
      <c r="C324" s="106"/>
      <c r="D324" s="105"/>
      <c r="E324" s="105"/>
      <c r="F324" s="107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4.25" customHeight="1">
      <c r="A325" s="107"/>
      <c r="B325" s="105"/>
      <c r="C325" s="106"/>
      <c r="D325" s="105"/>
      <c r="E325" s="105"/>
      <c r="F325" s="107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4.25" customHeight="1">
      <c r="A326" s="107"/>
      <c r="B326" s="105"/>
      <c r="C326" s="106"/>
      <c r="D326" s="105"/>
      <c r="E326" s="105"/>
      <c r="F326" s="107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4.25" customHeight="1">
      <c r="A327" s="107"/>
      <c r="B327" s="105"/>
      <c r="C327" s="106"/>
      <c r="D327" s="105"/>
      <c r="E327" s="105"/>
      <c r="F327" s="107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4.25" customHeight="1">
      <c r="A328" s="107"/>
      <c r="B328" s="105"/>
      <c r="C328" s="106"/>
      <c r="D328" s="105"/>
      <c r="E328" s="105"/>
      <c r="F328" s="107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4.25" customHeight="1">
      <c r="A329" s="107"/>
      <c r="B329" s="105"/>
      <c r="C329" s="106"/>
      <c r="D329" s="105"/>
      <c r="E329" s="105"/>
      <c r="F329" s="107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4.25" customHeight="1">
      <c r="A330" s="107"/>
      <c r="B330" s="105"/>
      <c r="C330" s="106"/>
      <c r="D330" s="105"/>
      <c r="E330" s="105"/>
      <c r="F330" s="107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4.25" customHeight="1">
      <c r="A331" s="107"/>
      <c r="B331" s="105"/>
      <c r="C331" s="106"/>
      <c r="D331" s="105"/>
      <c r="E331" s="105"/>
      <c r="F331" s="107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4.25" customHeight="1">
      <c r="A332" s="107"/>
      <c r="B332" s="105"/>
      <c r="C332" s="106"/>
      <c r="D332" s="105"/>
      <c r="E332" s="105"/>
      <c r="F332" s="107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4.25" customHeight="1">
      <c r="A333" s="107"/>
      <c r="B333" s="105"/>
      <c r="C333" s="106"/>
      <c r="D333" s="105"/>
      <c r="E333" s="105"/>
      <c r="F333" s="107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4.25" customHeight="1">
      <c r="A334" s="107"/>
      <c r="B334" s="105"/>
      <c r="C334" s="106"/>
      <c r="D334" s="105"/>
      <c r="E334" s="105"/>
      <c r="F334" s="107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4.25" customHeight="1">
      <c r="A335" s="107"/>
      <c r="B335" s="105"/>
      <c r="C335" s="106"/>
      <c r="D335" s="105"/>
      <c r="E335" s="105"/>
      <c r="F335" s="107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4.25" customHeight="1">
      <c r="A336" s="107"/>
      <c r="B336" s="105"/>
      <c r="C336" s="106"/>
      <c r="D336" s="105"/>
      <c r="E336" s="105"/>
      <c r="F336" s="107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4.25" customHeight="1">
      <c r="A337" s="107"/>
      <c r="B337" s="105"/>
      <c r="C337" s="106"/>
      <c r="D337" s="105"/>
      <c r="E337" s="105"/>
      <c r="F337" s="107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4.25" customHeight="1">
      <c r="A338" s="107"/>
      <c r="B338" s="105"/>
      <c r="C338" s="106"/>
      <c r="D338" s="105"/>
      <c r="E338" s="105"/>
      <c r="F338" s="107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4.25" customHeight="1">
      <c r="A339" s="107"/>
      <c r="B339" s="105"/>
      <c r="C339" s="106"/>
      <c r="D339" s="105"/>
      <c r="E339" s="105"/>
      <c r="F339" s="107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4.25" customHeight="1">
      <c r="A340" s="107"/>
      <c r="B340" s="105"/>
      <c r="C340" s="106"/>
      <c r="D340" s="105"/>
      <c r="E340" s="105"/>
      <c r="F340" s="107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4.25" customHeight="1">
      <c r="A341" s="107"/>
      <c r="B341" s="105"/>
      <c r="C341" s="106"/>
      <c r="D341" s="105"/>
      <c r="E341" s="105"/>
      <c r="F341" s="107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4.25" customHeight="1">
      <c r="A342" s="107"/>
      <c r="B342" s="105"/>
      <c r="C342" s="106"/>
      <c r="D342" s="105"/>
      <c r="E342" s="105"/>
      <c r="F342" s="107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4.25" customHeight="1">
      <c r="A343" s="107"/>
      <c r="B343" s="105"/>
      <c r="C343" s="106"/>
      <c r="D343" s="105"/>
      <c r="E343" s="105"/>
      <c r="F343" s="107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4.25" customHeight="1">
      <c r="A344" s="107"/>
      <c r="B344" s="105"/>
      <c r="C344" s="106"/>
      <c r="D344" s="105"/>
      <c r="E344" s="105"/>
      <c r="F344" s="107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4.25" customHeight="1">
      <c r="A345" s="107"/>
      <c r="B345" s="105"/>
      <c r="C345" s="106"/>
      <c r="D345" s="105"/>
      <c r="E345" s="105"/>
      <c r="F345" s="107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4.25" customHeight="1">
      <c r="A346" s="107"/>
      <c r="B346" s="105"/>
      <c r="C346" s="106"/>
      <c r="D346" s="105"/>
      <c r="E346" s="105"/>
      <c r="F346" s="107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4.25" customHeight="1">
      <c r="A347" s="107"/>
      <c r="B347" s="105"/>
      <c r="C347" s="106"/>
      <c r="D347" s="105"/>
      <c r="E347" s="105"/>
      <c r="F347" s="107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4.25" customHeight="1">
      <c r="A348" s="107"/>
      <c r="B348" s="105"/>
      <c r="C348" s="106"/>
      <c r="D348" s="105"/>
      <c r="E348" s="105"/>
      <c r="F348" s="107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4.25" customHeight="1">
      <c r="A349" s="107"/>
      <c r="B349" s="105"/>
      <c r="C349" s="106"/>
      <c r="D349" s="105"/>
      <c r="E349" s="105"/>
      <c r="F349" s="107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4.25" customHeight="1">
      <c r="A350" s="107"/>
      <c r="B350" s="105"/>
      <c r="C350" s="106"/>
      <c r="D350" s="105"/>
      <c r="E350" s="105"/>
      <c r="F350" s="107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4.25" customHeight="1">
      <c r="A351" s="107"/>
      <c r="B351" s="105"/>
      <c r="C351" s="106"/>
      <c r="D351" s="105"/>
      <c r="E351" s="105"/>
      <c r="F351" s="107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4.25" customHeight="1">
      <c r="A352" s="107"/>
      <c r="B352" s="105"/>
      <c r="C352" s="106"/>
      <c r="D352" s="105"/>
      <c r="E352" s="105"/>
      <c r="F352" s="107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4.25" customHeight="1">
      <c r="A353" s="107"/>
      <c r="B353" s="105"/>
      <c r="C353" s="106"/>
      <c r="D353" s="105"/>
      <c r="E353" s="105"/>
      <c r="F353" s="107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4.25" customHeight="1">
      <c r="A354" s="107"/>
      <c r="B354" s="105"/>
      <c r="C354" s="106"/>
      <c r="D354" s="105"/>
      <c r="E354" s="105"/>
      <c r="F354" s="107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4.25" customHeight="1">
      <c r="A355" s="107"/>
      <c r="B355" s="105"/>
      <c r="C355" s="106"/>
      <c r="D355" s="105"/>
      <c r="E355" s="105"/>
      <c r="F355" s="107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4.25" customHeight="1">
      <c r="A356" s="107"/>
      <c r="B356" s="105"/>
      <c r="C356" s="106"/>
      <c r="D356" s="105"/>
      <c r="E356" s="105"/>
      <c r="F356" s="107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4.25" customHeight="1">
      <c r="A357" s="107"/>
      <c r="B357" s="105"/>
      <c r="C357" s="106"/>
      <c r="D357" s="105"/>
      <c r="E357" s="105"/>
      <c r="F357" s="107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4.25" customHeight="1">
      <c r="A358" s="107"/>
      <c r="B358" s="105"/>
      <c r="C358" s="106"/>
      <c r="D358" s="105"/>
      <c r="E358" s="105"/>
      <c r="F358" s="107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4.25" customHeight="1">
      <c r="A359" s="107"/>
      <c r="B359" s="105"/>
      <c r="C359" s="106"/>
      <c r="D359" s="105"/>
      <c r="E359" s="105"/>
      <c r="F359" s="107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4.25" customHeight="1">
      <c r="A360" s="107"/>
      <c r="B360" s="105"/>
      <c r="C360" s="106"/>
      <c r="D360" s="105"/>
      <c r="E360" s="105"/>
      <c r="F360" s="107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4.25" customHeight="1">
      <c r="A361" s="107"/>
      <c r="B361" s="105"/>
      <c r="C361" s="106"/>
      <c r="D361" s="105"/>
      <c r="E361" s="105"/>
      <c r="F361" s="107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4.25" customHeight="1">
      <c r="A362" s="107"/>
      <c r="B362" s="105"/>
      <c r="C362" s="106"/>
      <c r="D362" s="105"/>
      <c r="E362" s="105"/>
      <c r="F362" s="107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4.25" customHeight="1">
      <c r="A363" s="107"/>
      <c r="B363" s="105"/>
      <c r="C363" s="106"/>
      <c r="D363" s="105"/>
      <c r="E363" s="105"/>
      <c r="F363" s="107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4.25" customHeight="1">
      <c r="A364" s="107"/>
      <c r="B364" s="105"/>
      <c r="C364" s="106"/>
      <c r="D364" s="105"/>
      <c r="E364" s="105"/>
      <c r="F364" s="107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4.25" customHeight="1">
      <c r="A365" s="107"/>
      <c r="B365" s="105"/>
      <c r="C365" s="106"/>
      <c r="D365" s="105"/>
      <c r="E365" s="105"/>
      <c r="F365" s="107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4.25" customHeight="1">
      <c r="A366" s="107"/>
      <c r="B366" s="105"/>
      <c r="C366" s="106"/>
      <c r="D366" s="105"/>
      <c r="E366" s="105"/>
      <c r="F366" s="107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4.25" customHeight="1">
      <c r="A367" s="107"/>
      <c r="B367" s="105"/>
      <c r="C367" s="106"/>
      <c r="D367" s="105"/>
      <c r="E367" s="105"/>
      <c r="F367" s="107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4.25" customHeight="1">
      <c r="A368" s="107"/>
      <c r="B368" s="105"/>
      <c r="C368" s="106"/>
      <c r="D368" s="105"/>
      <c r="E368" s="105"/>
      <c r="F368" s="107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4.25" customHeight="1">
      <c r="A369" s="107"/>
      <c r="B369" s="105"/>
      <c r="C369" s="106"/>
      <c r="D369" s="105"/>
      <c r="E369" s="105"/>
      <c r="F369" s="107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4.25" customHeight="1">
      <c r="A370" s="107"/>
      <c r="B370" s="105"/>
      <c r="C370" s="106"/>
      <c r="D370" s="105"/>
      <c r="E370" s="105"/>
      <c r="F370" s="107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4.25" customHeight="1">
      <c r="A371" s="107"/>
      <c r="B371" s="105"/>
      <c r="C371" s="106"/>
      <c r="D371" s="105"/>
      <c r="E371" s="105"/>
      <c r="F371" s="107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4.25" customHeight="1">
      <c r="A372" s="107"/>
      <c r="B372" s="105"/>
      <c r="C372" s="106"/>
      <c r="D372" s="105"/>
      <c r="E372" s="105"/>
      <c r="F372" s="107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4.25" customHeight="1">
      <c r="A373" s="107"/>
      <c r="B373" s="105"/>
      <c r="C373" s="106"/>
      <c r="D373" s="105"/>
      <c r="E373" s="105"/>
      <c r="F373" s="107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4.25" customHeight="1">
      <c r="A374" s="107"/>
      <c r="B374" s="105"/>
      <c r="C374" s="106"/>
      <c r="D374" s="105"/>
      <c r="E374" s="105"/>
      <c r="F374" s="107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4.25" customHeight="1">
      <c r="A375" s="107"/>
      <c r="B375" s="105"/>
      <c r="C375" s="106"/>
      <c r="D375" s="105"/>
      <c r="E375" s="105"/>
      <c r="F375" s="107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4.25" customHeight="1">
      <c r="A376" s="107"/>
      <c r="B376" s="105"/>
      <c r="C376" s="106"/>
      <c r="D376" s="105"/>
      <c r="E376" s="105"/>
      <c r="F376" s="107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4.25" customHeight="1">
      <c r="A377" s="107"/>
      <c r="B377" s="105"/>
      <c r="C377" s="106"/>
      <c r="D377" s="105"/>
      <c r="E377" s="105"/>
      <c r="F377" s="107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4.25" customHeight="1">
      <c r="A378" s="107"/>
      <c r="B378" s="105"/>
      <c r="C378" s="106"/>
      <c r="D378" s="105"/>
      <c r="E378" s="105"/>
      <c r="F378" s="107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4.25" customHeight="1">
      <c r="A379" s="107"/>
      <c r="B379" s="105"/>
      <c r="C379" s="106"/>
      <c r="D379" s="105"/>
      <c r="E379" s="105"/>
      <c r="F379" s="107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4.25" customHeight="1">
      <c r="A380" s="107"/>
      <c r="B380" s="105"/>
      <c r="C380" s="106"/>
      <c r="D380" s="105"/>
      <c r="E380" s="105"/>
      <c r="F380" s="107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4.25" customHeight="1">
      <c r="A381" s="107"/>
      <c r="B381" s="105"/>
      <c r="C381" s="106"/>
      <c r="D381" s="105"/>
      <c r="E381" s="105"/>
      <c r="F381" s="107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4.25" customHeight="1">
      <c r="A382" s="107"/>
      <c r="B382" s="105"/>
      <c r="C382" s="106"/>
      <c r="D382" s="105"/>
      <c r="E382" s="105"/>
      <c r="F382" s="107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4.25" customHeight="1">
      <c r="A383" s="107"/>
      <c r="B383" s="105"/>
      <c r="C383" s="106"/>
      <c r="D383" s="105"/>
      <c r="E383" s="105"/>
      <c r="F383" s="107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4.25" customHeight="1">
      <c r="A384" s="107"/>
      <c r="B384" s="105"/>
      <c r="C384" s="106"/>
      <c r="D384" s="105"/>
      <c r="E384" s="105"/>
      <c r="F384" s="107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4.25" customHeight="1">
      <c r="A385" s="107"/>
      <c r="B385" s="105"/>
      <c r="C385" s="106"/>
      <c r="D385" s="105"/>
      <c r="E385" s="105"/>
      <c r="F385" s="107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4.25" customHeight="1">
      <c r="A386" s="107"/>
      <c r="B386" s="105"/>
      <c r="C386" s="106"/>
      <c r="D386" s="105"/>
      <c r="E386" s="105"/>
      <c r="F386" s="107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4.25" customHeight="1">
      <c r="A387" s="107"/>
      <c r="B387" s="105"/>
      <c r="C387" s="106"/>
      <c r="D387" s="105"/>
      <c r="E387" s="105"/>
      <c r="F387" s="107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4.25" customHeight="1">
      <c r="A388" s="107"/>
      <c r="B388" s="105"/>
      <c r="C388" s="106"/>
      <c r="D388" s="105"/>
      <c r="E388" s="105"/>
      <c r="F388" s="107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4.25" customHeight="1">
      <c r="A389" s="107"/>
      <c r="B389" s="105"/>
      <c r="C389" s="106"/>
      <c r="D389" s="105"/>
      <c r="E389" s="105"/>
      <c r="F389" s="107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4.25" customHeight="1">
      <c r="A390" s="107"/>
      <c r="B390" s="105"/>
      <c r="C390" s="106"/>
      <c r="D390" s="105"/>
      <c r="E390" s="105"/>
      <c r="F390" s="107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4.25" customHeight="1">
      <c r="A391" s="107"/>
      <c r="B391" s="105"/>
      <c r="C391" s="106"/>
      <c r="D391" s="105"/>
      <c r="E391" s="105"/>
      <c r="F391" s="107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4.25" customHeight="1">
      <c r="A392" s="107"/>
      <c r="B392" s="105"/>
      <c r="C392" s="106"/>
      <c r="D392" s="105"/>
      <c r="E392" s="105"/>
      <c r="F392" s="107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4.25" customHeight="1">
      <c r="A393" s="107"/>
      <c r="B393" s="105"/>
      <c r="C393" s="106"/>
      <c r="D393" s="105"/>
      <c r="E393" s="105"/>
      <c r="F393" s="107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4.25" customHeight="1">
      <c r="A394" s="107"/>
      <c r="B394" s="105"/>
      <c r="C394" s="106"/>
      <c r="D394" s="105"/>
      <c r="E394" s="105"/>
      <c r="F394" s="107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4.25" customHeight="1">
      <c r="A395" s="107"/>
      <c r="B395" s="105"/>
      <c r="C395" s="106"/>
      <c r="D395" s="105"/>
      <c r="E395" s="105"/>
      <c r="F395" s="107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4.25" customHeight="1">
      <c r="A396" s="107"/>
      <c r="B396" s="105"/>
      <c r="C396" s="106"/>
      <c r="D396" s="105"/>
      <c r="E396" s="105"/>
      <c r="F396" s="107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4.25" customHeight="1">
      <c r="A397" s="107"/>
      <c r="B397" s="105"/>
      <c r="C397" s="106"/>
      <c r="D397" s="105"/>
      <c r="E397" s="105"/>
      <c r="F397" s="107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4.25" customHeight="1">
      <c r="A398" s="107"/>
      <c r="B398" s="105"/>
      <c r="C398" s="106"/>
      <c r="D398" s="105"/>
      <c r="E398" s="105"/>
      <c r="F398" s="107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4.25" customHeight="1">
      <c r="A399" s="107"/>
      <c r="B399" s="105"/>
      <c r="C399" s="106"/>
      <c r="D399" s="105"/>
      <c r="E399" s="105"/>
      <c r="F399" s="107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4.25" customHeight="1">
      <c r="A400" s="107"/>
      <c r="B400" s="105"/>
      <c r="C400" s="106"/>
      <c r="D400" s="105"/>
      <c r="E400" s="105"/>
      <c r="F400" s="107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4.25" customHeight="1">
      <c r="A401" s="107"/>
      <c r="B401" s="105"/>
      <c r="C401" s="106"/>
      <c r="D401" s="105"/>
      <c r="E401" s="105"/>
      <c r="F401" s="107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4.25" customHeight="1">
      <c r="A402" s="107"/>
      <c r="B402" s="105"/>
      <c r="C402" s="106"/>
      <c r="D402" s="105"/>
      <c r="E402" s="105"/>
      <c r="F402" s="107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4.25" customHeight="1">
      <c r="A403" s="107"/>
      <c r="B403" s="105"/>
      <c r="C403" s="106"/>
      <c r="D403" s="105"/>
      <c r="E403" s="105"/>
      <c r="F403" s="107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4.25" customHeight="1">
      <c r="A404" s="107"/>
      <c r="B404" s="105"/>
      <c r="C404" s="106"/>
      <c r="D404" s="105"/>
      <c r="E404" s="105"/>
      <c r="F404" s="107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4.25" customHeight="1">
      <c r="A405" s="107"/>
      <c r="B405" s="105"/>
      <c r="C405" s="106"/>
      <c r="D405" s="105"/>
      <c r="E405" s="105"/>
      <c r="F405" s="107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4.25" customHeight="1">
      <c r="A406" s="107"/>
      <c r="B406" s="105"/>
      <c r="C406" s="106"/>
      <c r="D406" s="105"/>
      <c r="E406" s="105"/>
      <c r="F406" s="107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4.25" customHeight="1">
      <c r="A407" s="107"/>
      <c r="B407" s="105"/>
      <c r="C407" s="106"/>
      <c r="D407" s="105"/>
      <c r="E407" s="105"/>
      <c r="F407" s="107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4.25" customHeight="1">
      <c r="A408" s="107"/>
      <c r="B408" s="105"/>
      <c r="C408" s="106"/>
      <c r="D408" s="105"/>
      <c r="E408" s="105"/>
      <c r="F408" s="107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4.25" customHeight="1">
      <c r="A409" s="107"/>
      <c r="B409" s="105"/>
      <c r="C409" s="106"/>
      <c r="D409" s="105"/>
      <c r="E409" s="105"/>
      <c r="F409" s="107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4.25" customHeight="1">
      <c r="A410" s="107"/>
      <c r="B410" s="105"/>
      <c r="C410" s="106"/>
      <c r="D410" s="105"/>
      <c r="E410" s="105"/>
      <c r="F410" s="107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4.25" customHeight="1">
      <c r="A411" s="107"/>
      <c r="B411" s="105"/>
      <c r="C411" s="106"/>
      <c r="D411" s="105"/>
      <c r="E411" s="105"/>
      <c r="F411" s="107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4.25" customHeight="1">
      <c r="A412" s="107"/>
      <c r="B412" s="105"/>
      <c r="C412" s="106"/>
      <c r="D412" s="105"/>
      <c r="E412" s="105"/>
      <c r="F412" s="107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4.25" customHeight="1">
      <c r="A413" s="107"/>
      <c r="B413" s="105"/>
      <c r="C413" s="106"/>
      <c r="D413" s="105"/>
      <c r="E413" s="105"/>
      <c r="F413" s="107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4.25" customHeight="1">
      <c r="A414" s="107"/>
      <c r="B414" s="105"/>
      <c r="C414" s="106"/>
      <c r="D414" s="105"/>
      <c r="E414" s="105"/>
      <c r="F414" s="107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4.25" customHeight="1">
      <c r="A415" s="107"/>
      <c r="B415" s="105"/>
      <c r="C415" s="106"/>
      <c r="D415" s="105"/>
      <c r="E415" s="105"/>
      <c r="F415" s="107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4.25" customHeight="1">
      <c r="A416" s="107"/>
      <c r="B416" s="105"/>
      <c r="C416" s="106"/>
      <c r="D416" s="105"/>
      <c r="E416" s="105"/>
      <c r="F416" s="107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4.25" customHeight="1">
      <c r="A417" s="107"/>
      <c r="B417" s="105"/>
      <c r="C417" s="106"/>
      <c r="D417" s="105"/>
      <c r="E417" s="105"/>
      <c r="F417" s="107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4.25" customHeight="1">
      <c r="A418" s="107"/>
      <c r="B418" s="105"/>
      <c r="C418" s="106"/>
      <c r="D418" s="105"/>
      <c r="E418" s="105"/>
      <c r="F418" s="107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4.25" customHeight="1">
      <c r="A419" s="107"/>
      <c r="B419" s="105"/>
      <c r="C419" s="106"/>
      <c r="D419" s="105"/>
      <c r="E419" s="105"/>
      <c r="F419" s="107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4.25" customHeight="1">
      <c r="A420" s="107"/>
      <c r="B420" s="105"/>
      <c r="C420" s="106"/>
      <c r="D420" s="105"/>
      <c r="E420" s="105"/>
      <c r="F420" s="107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4.25" customHeight="1">
      <c r="A421" s="107"/>
      <c r="B421" s="105"/>
      <c r="C421" s="106"/>
      <c r="D421" s="105"/>
      <c r="E421" s="105"/>
      <c r="F421" s="107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4.25" customHeight="1">
      <c r="A422" s="107"/>
      <c r="B422" s="105"/>
      <c r="C422" s="106"/>
      <c r="D422" s="105"/>
      <c r="E422" s="105"/>
      <c r="F422" s="107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4.25" customHeight="1">
      <c r="A423" s="107"/>
      <c r="B423" s="105"/>
      <c r="C423" s="106"/>
      <c r="D423" s="105"/>
      <c r="E423" s="105"/>
      <c r="F423" s="107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4.25" customHeight="1">
      <c r="A424" s="107"/>
      <c r="B424" s="105"/>
      <c r="C424" s="106"/>
      <c r="D424" s="105"/>
      <c r="E424" s="105"/>
      <c r="F424" s="107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4.25" customHeight="1">
      <c r="A425" s="107"/>
      <c r="B425" s="105"/>
      <c r="C425" s="106"/>
      <c r="D425" s="105"/>
      <c r="E425" s="105"/>
      <c r="F425" s="107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4.25" customHeight="1">
      <c r="A426" s="107"/>
      <c r="B426" s="105"/>
      <c r="C426" s="106"/>
      <c r="D426" s="105"/>
      <c r="E426" s="105"/>
      <c r="F426" s="107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4.25" customHeight="1">
      <c r="A427" s="107"/>
      <c r="B427" s="105"/>
      <c r="C427" s="106"/>
      <c r="D427" s="105"/>
      <c r="E427" s="105"/>
      <c r="F427" s="107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4.25" customHeight="1">
      <c r="A428" s="107"/>
      <c r="B428" s="105"/>
      <c r="C428" s="106"/>
      <c r="D428" s="105"/>
      <c r="E428" s="105"/>
      <c r="F428" s="107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4.25" customHeight="1">
      <c r="A429" s="107"/>
      <c r="B429" s="105"/>
      <c r="C429" s="106"/>
      <c r="D429" s="105"/>
      <c r="E429" s="105"/>
      <c r="F429" s="107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4.25" customHeight="1">
      <c r="A430" s="107"/>
      <c r="B430" s="105"/>
      <c r="C430" s="106"/>
      <c r="D430" s="105"/>
      <c r="E430" s="105"/>
      <c r="F430" s="107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4.25" customHeight="1">
      <c r="A431" s="107"/>
      <c r="B431" s="105"/>
      <c r="C431" s="106"/>
      <c r="D431" s="105"/>
      <c r="E431" s="105"/>
      <c r="F431" s="107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4.25" customHeight="1">
      <c r="A432" s="107"/>
      <c r="B432" s="105"/>
      <c r="C432" s="106"/>
      <c r="D432" s="105"/>
      <c r="E432" s="105"/>
      <c r="F432" s="107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4.25" customHeight="1">
      <c r="A433" s="107"/>
      <c r="B433" s="105"/>
      <c r="C433" s="106"/>
      <c r="D433" s="105"/>
      <c r="E433" s="105"/>
      <c r="F433" s="107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4.25" customHeight="1">
      <c r="A434" s="107"/>
      <c r="B434" s="105"/>
      <c r="C434" s="106"/>
      <c r="D434" s="105"/>
      <c r="E434" s="105"/>
      <c r="F434" s="107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4.25" customHeight="1">
      <c r="A435" s="107"/>
      <c r="B435" s="105"/>
      <c r="C435" s="106"/>
      <c r="D435" s="105"/>
      <c r="E435" s="105"/>
      <c r="F435" s="107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4.25" customHeight="1">
      <c r="A436" s="107"/>
      <c r="B436" s="105"/>
      <c r="C436" s="106"/>
      <c r="D436" s="105"/>
      <c r="E436" s="105"/>
      <c r="F436" s="107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4.25" customHeight="1">
      <c r="A437" s="107"/>
      <c r="B437" s="105"/>
      <c r="C437" s="106"/>
      <c r="D437" s="105"/>
      <c r="E437" s="105"/>
      <c r="F437" s="107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4.25" customHeight="1">
      <c r="A438" s="107"/>
      <c r="B438" s="105"/>
      <c r="C438" s="106"/>
      <c r="D438" s="105"/>
      <c r="E438" s="105"/>
      <c r="F438" s="107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4.25" customHeight="1">
      <c r="A439" s="107"/>
      <c r="B439" s="105"/>
      <c r="C439" s="106"/>
      <c r="D439" s="105"/>
      <c r="E439" s="105"/>
      <c r="F439" s="107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4.25" customHeight="1">
      <c r="A440" s="107"/>
      <c r="B440" s="105"/>
      <c r="C440" s="106"/>
      <c r="D440" s="105"/>
      <c r="E440" s="105"/>
      <c r="F440" s="107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4.25" customHeight="1">
      <c r="A441" s="107"/>
      <c r="B441" s="105"/>
      <c r="C441" s="106"/>
      <c r="D441" s="105"/>
      <c r="E441" s="105"/>
      <c r="F441" s="107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4.25" customHeight="1">
      <c r="A442" s="107"/>
      <c r="B442" s="105"/>
      <c r="C442" s="106"/>
      <c r="D442" s="105"/>
      <c r="E442" s="105"/>
      <c r="F442" s="107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4.25" customHeight="1">
      <c r="A443" s="107"/>
      <c r="B443" s="105"/>
      <c r="C443" s="106"/>
      <c r="D443" s="105"/>
      <c r="E443" s="105"/>
      <c r="F443" s="107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4.25" customHeight="1">
      <c r="A444" s="107"/>
      <c r="B444" s="105"/>
      <c r="C444" s="106"/>
      <c r="D444" s="105"/>
      <c r="E444" s="105"/>
      <c r="F444" s="107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4.25" customHeight="1">
      <c r="A445" s="107"/>
      <c r="B445" s="105"/>
      <c r="C445" s="106"/>
      <c r="D445" s="105"/>
      <c r="E445" s="105"/>
      <c r="F445" s="107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4.25" customHeight="1">
      <c r="A446" s="107"/>
      <c r="B446" s="105"/>
      <c r="C446" s="106"/>
      <c r="D446" s="105"/>
      <c r="E446" s="105"/>
      <c r="F446" s="107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4.25" customHeight="1">
      <c r="A447" s="107"/>
      <c r="B447" s="105"/>
      <c r="C447" s="106"/>
      <c r="D447" s="105"/>
      <c r="E447" s="105"/>
      <c r="F447" s="107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4.25" customHeight="1">
      <c r="A448" s="107"/>
      <c r="B448" s="105"/>
      <c r="C448" s="106"/>
      <c r="D448" s="105"/>
      <c r="E448" s="105"/>
      <c r="F448" s="107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4.25" customHeight="1">
      <c r="A449" s="107"/>
      <c r="B449" s="105"/>
      <c r="C449" s="106"/>
      <c r="D449" s="105"/>
      <c r="E449" s="105"/>
      <c r="F449" s="107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4.25" customHeight="1">
      <c r="A450" s="107"/>
      <c r="B450" s="105"/>
      <c r="C450" s="106"/>
      <c r="D450" s="105"/>
      <c r="E450" s="105"/>
      <c r="F450" s="107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4.25" customHeight="1">
      <c r="A451" s="107"/>
      <c r="B451" s="105"/>
      <c r="C451" s="106"/>
      <c r="D451" s="105"/>
      <c r="E451" s="105"/>
      <c r="F451" s="107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4.25" customHeight="1">
      <c r="A452" s="107"/>
      <c r="B452" s="105"/>
      <c r="C452" s="106"/>
      <c r="D452" s="105"/>
      <c r="E452" s="105"/>
      <c r="F452" s="107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4.25" customHeight="1">
      <c r="A453" s="107"/>
      <c r="B453" s="105"/>
      <c r="C453" s="106"/>
      <c r="D453" s="105"/>
      <c r="E453" s="105"/>
      <c r="F453" s="107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4.25" customHeight="1">
      <c r="A454" s="107"/>
      <c r="B454" s="105"/>
      <c r="C454" s="106"/>
      <c r="D454" s="105"/>
      <c r="E454" s="105"/>
      <c r="F454" s="107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4.25" customHeight="1">
      <c r="A455" s="107"/>
      <c r="B455" s="105"/>
      <c r="C455" s="106"/>
      <c r="D455" s="105"/>
      <c r="E455" s="105"/>
      <c r="F455" s="107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4.25" customHeight="1">
      <c r="A456" s="107"/>
      <c r="B456" s="105"/>
      <c r="C456" s="106"/>
      <c r="D456" s="105"/>
      <c r="E456" s="105"/>
      <c r="F456" s="107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4.25" customHeight="1">
      <c r="A457" s="107"/>
      <c r="B457" s="105"/>
      <c r="C457" s="106"/>
      <c r="D457" s="105"/>
      <c r="E457" s="105"/>
      <c r="F457" s="107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4.25" customHeight="1">
      <c r="A458" s="107"/>
      <c r="B458" s="105"/>
      <c r="C458" s="106"/>
      <c r="D458" s="105"/>
      <c r="E458" s="105"/>
      <c r="F458" s="107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4.25" customHeight="1">
      <c r="A459" s="107"/>
      <c r="B459" s="105"/>
      <c r="C459" s="106"/>
      <c r="D459" s="105"/>
      <c r="E459" s="105"/>
      <c r="F459" s="107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4.25" customHeight="1">
      <c r="A460" s="107"/>
      <c r="B460" s="105"/>
      <c r="C460" s="106"/>
      <c r="D460" s="105"/>
      <c r="E460" s="105"/>
      <c r="F460" s="107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4.25" customHeight="1">
      <c r="A461" s="107"/>
      <c r="B461" s="105"/>
      <c r="C461" s="106"/>
      <c r="D461" s="105"/>
      <c r="E461" s="105"/>
      <c r="F461" s="107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4.25" customHeight="1">
      <c r="A462" s="107"/>
      <c r="B462" s="105"/>
      <c r="C462" s="106"/>
      <c r="D462" s="105"/>
      <c r="E462" s="105"/>
      <c r="F462" s="107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4.25" customHeight="1">
      <c r="A463" s="107"/>
      <c r="B463" s="105"/>
      <c r="C463" s="106"/>
      <c r="D463" s="105"/>
      <c r="E463" s="105"/>
      <c r="F463" s="107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4.25" customHeight="1">
      <c r="A464" s="107"/>
      <c r="B464" s="105"/>
      <c r="C464" s="106"/>
      <c r="D464" s="105"/>
      <c r="E464" s="105"/>
      <c r="F464" s="107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4.25" customHeight="1">
      <c r="A465" s="107"/>
      <c r="B465" s="105"/>
      <c r="C465" s="106"/>
      <c r="D465" s="105"/>
      <c r="E465" s="105"/>
      <c r="F465" s="107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4.25" customHeight="1">
      <c r="A466" s="107"/>
      <c r="B466" s="105"/>
      <c r="C466" s="106"/>
      <c r="D466" s="105"/>
      <c r="E466" s="105"/>
      <c r="F466" s="107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4.25" customHeight="1">
      <c r="A467" s="107"/>
      <c r="B467" s="105"/>
      <c r="C467" s="106"/>
      <c r="D467" s="105"/>
      <c r="E467" s="105"/>
      <c r="F467" s="107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4.25" customHeight="1">
      <c r="A468" s="107"/>
      <c r="B468" s="105"/>
      <c r="C468" s="106"/>
      <c r="D468" s="105"/>
      <c r="E468" s="105"/>
      <c r="F468" s="107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4.25" customHeight="1">
      <c r="A469" s="107"/>
      <c r="B469" s="105"/>
      <c r="C469" s="106"/>
      <c r="D469" s="105"/>
      <c r="E469" s="105"/>
      <c r="F469" s="107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4.25" customHeight="1">
      <c r="A470" s="107"/>
      <c r="B470" s="105"/>
      <c r="C470" s="106"/>
      <c r="D470" s="105"/>
      <c r="E470" s="105"/>
      <c r="F470" s="107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4.25" customHeight="1">
      <c r="A471" s="107"/>
      <c r="B471" s="105"/>
      <c r="C471" s="106"/>
      <c r="D471" s="105"/>
      <c r="E471" s="105"/>
      <c r="F471" s="107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4.25" customHeight="1">
      <c r="A472" s="107"/>
      <c r="B472" s="105"/>
      <c r="C472" s="106"/>
      <c r="D472" s="105"/>
      <c r="E472" s="105"/>
      <c r="F472" s="107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4.25" customHeight="1">
      <c r="A473" s="107"/>
      <c r="B473" s="105"/>
      <c r="C473" s="106"/>
      <c r="D473" s="105"/>
      <c r="E473" s="105"/>
      <c r="F473" s="107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4.25" customHeight="1">
      <c r="A474" s="107"/>
      <c r="B474" s="105"/>
      <c r="C474" s="106"/>
      <c r="D474" s="105"/>
      <c r="E474" s="105"/>
      <c r="F474" s="107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4.25" customHeight="1">
      <c r="A475" s="107"/>
      <c r="B475" s="105"/>
      <c r="C475" s="106"/>
      <c r="D475" s="105"/>
      <c r="E475" s="105"/>
      <c r="F475" s="107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4.25" customHeight="1">
      <c r="A476" s="107"/>
      <c r="B476" s="105"/>
      <c r="C476" s="106"/>
      <c r="D476" s="105"/>
      <c r="E476" s="105"/>
      <c r="F476" s="107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4.25" customHeight="1">
      <c r="A477" s="107"/>
      <c r="B477" s="105"/>
      <c r="C477" s="106"/>
      <c r="D477" s="105"/>
      <c r="E477" s="105"/>
      <c r="F477" s="107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4.25" customHeight="1">
      <c r="A478" s="107"/>
      <c r="B478" s="105"/>
      <c r="C478" s="106"/>
      <c r="D478" s="105"/>
      <c r="E478" s="105"/>
      <c r="F478" s="107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4.25" customHeight="1">
      <c r="A479" s="107"/>
      <c r="B479" s="105"/>
      <c r="C479" s="106"/>
      <c r="D479" s="105"/>
      <c r="E479" s="105"/>
      <c r="F479" s="107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4.25" customHeight="1">
      <c r="A480" s="107"/>
      <c r="B480" s="105"/>
      <c r="C480" s="106"/>
      <c r="D480" s="105"/>
      <c r="E480" s="105"/>
      <c r="F480" s="107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4.25" customHeight="1">
      <c r="A481" s="107"/>
      <c r="B481" s="105"/>
      <c r="C481" s="106"/>
      <c r="D481" s="105"/>
      <c r="E481" s="105"/>
      <c r="F481" s="107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4.25" customHeight="1">
      <c r="A482" s="107"/>
      <c r="B482" s="105"/>
      <c r="C482" s="106"/>
      <c r="D482" s="105"/>
      <c r="E482" s="105"/>
      <c r="F482" s="107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4.25" customHeight="1">
      <c r="A483" s="107"/>
      <c r="B483" s="105"/>
      <c r="C483" s="106"/>
      <c r="D483" s="105"/>
      <c r="E483" s="105"/>
      <c r="F483" s="107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4.25" customHeight="1">
      <c r="A484" s="107"/>
      <c r="B484" s="105"/>
      <c r="C484" s="106"/>
      <c r="D484" s="105"/>
      <c r="E484" s="105"/>
      <c r="F484" s="107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4.25" customHeight="1">
      <c r="A485" s="107"/>
      <c r="B485" s="105"/>
      <c r="C485" s="106"/>
      <c r="D485" s="105"/>
      <c r="E485" s="105"/>
      <c r="F485" s="107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4.25" customHeight="1">
      <c r="A486" s="107"/>
      <c r="B486" s="105"/>
      <c r="C486" s="106"/>
      <c r="D486" s="105"/>
      <c r="E486" s="105"/>
      <c r="F486" s="107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4.25" customHeight="1">
      <c r="A487" s="107"/>
      <c r="B487" s="105"/>
      <c r="C487" s="106"/>
      <c r="D487" s="105"/>
      <c r="E487" s="105"/>
      <c r="F487" s="107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4.25" customHeight="1">
      <c r="A488" s="107"/>
      <c r="B488" s="105"/>
      <c r="C488" s="106"/>
      <c r="D488" s="105"/>
      <c r="E488" s="105"/>
      <c r="F488" s="107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4.25" customHeight="1">
      <c r="A489" s="107"/>
      <c r="B489" s="105"/>
      <c r="C489" s="106"/>
      <c r="D489" s="105"/>
      <c r="E489" s="105"/>
      <c r="F489" s="107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4.25" customHeight="1">
      <c r="A490" s="107"/>
      <c r="B490" s="105"/>
      <c r="C490" s="106"/>
      <c r="D490" s="105"/>
      <c r="E490" s="105"/>
      <c r="F490" s="107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4.25" customHeight="1">
      <c r="A491" s="107"/>
      <c r="B491" s="105"/>
      <c r="C491" s="106"/>
      <c r="D491" s="105"/>
      <c r="E491" s="105"/>
      <c r="F491" s="107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4.25" customHeight="1">
      <c r="A492" s="107"/>
      <c r="B492" s="105"/>
      <c r="C492" s="106"/>
      <c r="D492" s="105"/>
      <c r="E492" s="105"/>
      <c r="F492" s="107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4.25" customHeight="1">
      <c r="A493" s="107"/>
      <c r="B493" s="105"/>
      <c r="C493" s="106"/>
      <c r="D493" s="105"/>
      <c r="E493" s="105"/>
      <c r="F493" s="107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4.25" customHeight="1">
      <c r="A494" s="107"/>
      <c r="B494" s="105"/>
      <c r="C494" s="106"/>
      <c r="D494" s="105"/>
      <c r="E494" s="105"/>
      <c r="F494" s="107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4.25" customHeight="1">
      <c r="A495" s="107"/>
      <c r="B495" s="105"/>
      <c r="C495" s="106"/>
      <c r="D495" s="105"/>
      <c r="E495" s="105"/>
      <c r="F495" s="107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4.25" customHeight="1">
      <c r="A496" s="107"/>
      <c r="B496" s="105"/>
      <c r="C496" s="106"/>
      <c r="D496" s="105"/>
      <c r="E496" s="105"/>
      <c r="F496" s="107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4.25" customHeight="1">
      <c r="A497" s="107"/>
      <c r="B497" s="105"/>
      <c r="C497" s="106"/>
      <c r="D497" s="105"/>
      <c r="E497" s="105"/>
      <c r="F497" s="107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4.25" customHeight="1">
      <c r="A498" s="107"/>
      <c r="B498" s="105"/>
      <c r="C498" s="106"/>
      <c r="D498" s="105"/>
      <c r="E498" s="105"/>
      <c r="F498" s="107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4.25" customHeight="1">
      <c r="A499" s="107"/>
      <c r="B499" s="105"/>
      <c r="C499" s="106"/>
      <c r="D499" s="105"/>
      <c r="E499" s="105"/>
      <c r="F499" s="107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4.25" customHeight="1">
      <c r="A500" s="107"/>
      <c r="B500" s="105"/>
      <c r="C500" s="106"/>
      <c r="D500" s="105"/>
      <c r="E500" s="105"/>
      <c r="F500" s="107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4.25" customHeight="1">
      <c r="A501" s="107"/>
      <c r="B501" s="105"/>
      <c r="C501" s="106"/>
      <c r="D501" s="105"/>
      <c r="E501" s="105"/>
      <c r="F501" s="107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4.25" customHeight="1">
      <c r="A502" s="107"/>
      <c r="B502" s="105"/>
      <c r="C502" s="106"/>
      <c r="D502" s="105"/>
      <c r="E502" s="105"/>
      <c r="F502" s="107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4.25" customHeight="1">
      <c r="A503" s="107"/>
      <c r="B503" s="105"/>
      <c r="C503" s="106"/>
      <c r="D503" s="105"/>
      <c r="E503" s="105"/>
      <c r="F503" s="107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4.25" customHeight="1">
      <c r="A504" s="107"/>
      <c r="B504" s="105"/>
      <c r="C504" s="106"/>
      <c r="D504" s="105"/>
      <c r="E504" s="105"/>
      <c r="F504" s="107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4.25" customHeight="1">
      <c r="A505" s="107"/>
      <c r="B505" s="105"/>
      <c r="C505" s="106"/>
      <c r="D505" s="105"/>
      <c r="E505" s="105"/>
      <c r="F505" s="107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4.25" customHeight="1">
      <c r="A506" s="107"/>
      <c r="B506" s="105"/>
      <c r="C506" s="106"/>
      <c r="D506" s="105"/>
      <c r="E506" s="105"/>
      <c r="F506" s="107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4.25" customHeight="1">
      <c r="A507" s="107"/>
      <c r="B507" s="105"/>
      <c r="C507" s="106"/>
      <c r="D507" s="105"/>
      <c r="E507" s="105"/>
      <c r="F507" s="107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4.25" customHeight="1">
      <c r="A508" s="107"/>
      <c r="B508" s="105"/>
      <c r="C508" s="106"/>
      <c r="D508" s="105"/>
      <c r="E508" s="105"/>
      <c r="F508" s="107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4.25" customHeight="1">
      <c r="A509" s="107"/>
      <c r="B509" s="105"/>
      <c r="C509" s="106"/>
      <c r="D509" s="105"/>
      <c r="E509" s="105"/>
      <c r="F509" s="107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4.25" customHeight="1">
      <c r="A510" s="107"/>
      <c r="B510" s="105"/>
      <c r="C510" s="106"/>
      <c r="D510" s="105"/>
      <c r="E510" s="105"/>
      <c r="F510" s="107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4.25" customHeight="1">
      <c r="A511" s="107"/>
      <c r="B511" s="105"/>
      <c r="C511" s="106"/>
      <c r="D511" s="105"/>
      <c r="E511" s="105"/>
      <c r="F511" s="107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4.25" customHeight="1">
      <c r="A512" s="107"/>
      <c r="B512" s="105"/>
      <c r="C512" s="106"/>
      <c r="D512" s="105"/>
      <c r="E512" s="105"/>
      <c r="F512" s="107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4.25" customHeight="1">
      <c r="A513" s="107"/>
      <c r="B513" s="105"/>
      <c r="C513" s="106"/>
      <c r="D513" s="105"/>
      <c r="E513" s="105"/>
      <c r="F513" s="107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4.25" customHeight="1">
      <c r="A514" s="107"/>
      <c r="B514" s="105"/>
      <c r="C514" s="106"/>
      <c r="D514" s="105"/>
      <c r="E514" s="105"/>
      <c r="F514" s="107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4.25" customHeight="1">
      <c r="A515" s="107"/>
      <c r="B515" s="105"/>
      <c r="C515" s="106"/>
      <c r="D515" s="105"/>
      <c r="E515" s="105"/>
      <c r="F515" s="107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4.25" customHeight="1">
      <c r="A516" s="107"/>
      <c r="B516" s="105"/>
      <c r="C516" s="106"/>
      <c r="D516" s="105"/>
      <c r="E516" s="105"/>
      <c r="F516" s="107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4.25" customHeight="1">
      <c r="A517" s="107"/>
      <c r="B517" s="105"/>
      <c r="C517" s="106"/>
      <c r="D517" s="105"/>
      <c r="E517" s="105"/>
      <c r="F517" s="107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4.25" customHeight="1">
      <c r="A518" s="107"/>
      <c r="B518" s="105"/>
      <c r="C518" s="106"/>
      <c r="D518" s="105"/>
      <c r="E518" s="105"/>
      <c r="F518" s="107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4.25" customHeight="1">
      <c r="A519" s="107"/>
      <c r="B519" s="105"/>
      <c r="C519" s="106"/>
      <c r="D519" s="105"/>
      <c r="E519" s="105"/>
      <c r="F519" s="107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4.25" customHeight="1">
      <c r="A520" s="107"/>
      <c r="B520" s="105"/>
      <c r="C520" s="106"/>
      <c r="D520" s="105"/>
      <c r="E520" s="105"/>
      <c r="F520" s="107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4.25" customHeight="1">
      <c r="A521" s="107"/>
      <c r="B521" s="105"/>
      <c r="C521" s="106"/>
      <c r="D521" s="105"/>
      <c r="E521" s="105"/>
      <c r="F521" s="107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4.25" customHeight="1">
      <c r="A522" s="107"/>
      <c r="B522" s="105"/>
      <c r="C522" s="106"/>
      <c r="D522" s="105"/>
      <c r="E522" s="105"/>
      <c r="F522" s="107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4.25" customHeight="1">
      <c r="A523" s="107"/>
      <c r="B523" s="105"/>
      <c r="C523" s="106"/>
      <c r="D523" s="105"/>
      <c r="E523" s="105"/>
      <c r="F523" s="107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4.25" customHeight="1">
      <c r="A524" s="107"/>
      <c r="B524" s="105"/>
      <c r="C524" s="106"/>
      <c r="D524" s="105"/>
      <c r="E524" s="105"/>
      <c r="F524" s="107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4.25" customHeight="1">
      <c r="A525" s="107"/>
      <c r="B525" s="105"/>
      <c r="C525" s="106"/>
      <c r="D525" s="105"/>
      <c r="E525" s="105"/>
      <c r="F525" s="107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4.25" customHeight="1">
      <c r="A526" s="107"/>
      <c r="B526" s="105"/>
      <c r="C526" s="106"/>
      <c r="D526" s="105"/>
      <c r="E526" s="105"/>
      <c r="F526" s="107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4.25" customHeight="1">
      <c r="A527" s="107"/>
      <c r="B527" s="105"/>
      <c r="C527" s="106"/>
      <c r="D527" s="105"/>
      <c r="E527" s="105"/>
      <c r="F527" s="107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4.25" customHeight="1">
      <c r="A528" s="107"/>
      <c r="B528" s="105"/>
      <c r="C528" s="106"/>
      <c r="D528" s="105"/>
      <c r="E528" s="105"/>
      <c r="F528" s="107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4.25" customHeight="1">
      <c r="A529" s="107"/>
      <c r="B529" s="105"/>
      <c r="C529" s="106"/>
      <c r="D529" s="105"/>
      <c r="E529" s="105"/>
      <c r="F529" s="107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4.25" customHeight="1">
      <c r="A530" s="107"/>
      <c r="B530" s="105"/>
      <c r="C530" s="106"/>
      <c r="D530" s="105"/>
      <c r="E530" s="105"/>
      <c r="F530" s="107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4.25" customHeight="1">
      <c r="A531" s="107"/>
      <c r="B531" s="105"/>
      <c r="C531" s="106"/>
      <c r="D531" s="105"/>
      <c r="E531" s="105"/>
      <c r="F531" s="107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4.25" customHeight="1">
      <c r="A532" s="107"/>
      <c r="B532" s="105"/>
      <c r="C532" s="106"/>
      <c r="D532" s="105"/>
      <c r="E532" s="105"/>
      <c r="F532" s="107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4.25" customHeight="1">
      <c r="A533" s="107"/>
      <c r="B533" s="105"/>
      <c r="C533" s="106"/>
      <c r="D533" s="105"/>
      <c r="E533" s="105"/>
      <c r="F533" s="107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4.25" customHeight="1">
      <c r="A534" s="107"/>
      <c r="B534" s="105"/>
      <c r="C534" s="106"/>
      <c r="D534" s="105"/>
      <c r="E534" s="105"/>
      <c r="F534" s="107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4.25" customHeight="1">
      <c r="A535" s="107"/>
      <c r="B535" s="105"/>
      <c r="C535" s="106"/>
      <c r="D535" s="105"/>
      <c r="E535" s="105"/>
      <c r="F535" s="107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4.25" customHeight="1">
      <c r="A536" s="107"/>
      <c r="B536" s="105"/>
      <c r="C536" s="106"/>
      <c r="D536" s="105"/>
      <c r="E536" s="105"/>
      <c r="F536" s="107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4.25" customHeight="1">
      <c r="A537" s="107"/>
      <c r="B537" s="105"/>
      <c r="C537" s="106"/>
      <c r="D537" s="105"/>
      <c r="E537" s="105"/>
      <c r="F537" s="107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4.25" customHeight="1">
      <c r="A538" s="107"/>
      <c r="B538" s="105"/>
      <c r="C538" s="106"/>
      <c r="D538" s="105"/>
      <c r="E538" s="105"/>
      <c r="F538" s="107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4.25" customHeight="1">
      <c r="A539" s="107"/>
      <c r="B539" s="105"/>
      <c r="C539" s="106"/>
      <c r="D539" s="105"/>
      <c r="E539" s="105"/>
      <c r="F539" s="107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4.25" customHeight="1">
      <c r="A540" s="107"/>
      <c r="B540" s="105"/>
      <c r="C540" s="106"/>
      <c r="D540" s="105"/>
      <c r="E540" s="105"/>
      <c r="F540" s="107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4.25" customHeight="1">
      <c r="A541" s="107"/>
      <c r="B541" s="105"/>
      <c r="C541" s="106"/>
      <c r="D541" s="105"/>
      <c r="E541" s="105"/>
      <c r="F541" s="107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4.25" customHeight="1">
      <c r="A542" s="107"/>
      <c r="B542" s="105"/>
      <c r="C542" s="106"/>
      <c r="D542" s="105"/>
      <c r="E542" s="105"/>
      <c r="F542" s="107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4.25" customHeight="1">
      <c r="A543" s="107"/>
      <c r="B543" s="105"/>
      <c r="C543" s="106"/>
      <c r="D543" s="105"/>
      <c r="E543" s="105"/>
      <c r="F543" s="107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4.25" customHeight="1">
      <c r="A544" s="107"/>
      <c r="B544" s="105"/>
      <c r="C544" s="106"/>
      <c r="D544" s="105"/>
      <c r="E544" s="105"/>
      <c r="F544" s="107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4.25" customHeight="1">
      <c r="A545" s="107"/>
      <c r="B545" s="105"/>
      <c r="C545" s="106"/>
      <c r="D545" s="105"/>
      <c r="E545" s="105"/>
      <c r="F545" s="107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4.25" customHeight="1">
      <c r="A546" s="107"/>
      <c r="B546" s="105"/>
      <c r="C546" s="106"/>
      <c r="D546" s="105"/>
      <c r="E546" s="105"/>
      <c r="F546" s="107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4.25" customHeight="1">
      <c r="A547" s="107"/>
      <c r="B547" s="105"/>
      <c r="C547" s="106"/>
      <c r="D547" s="105"/>
      <c r="E547" s="105"/>
      <c r="F547" s="107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4.25" customHeight="1">
      <c r="A548" s="107"/>
      <c r="B548" s="105"/>
      <c r="C548" s="106"/>
      <c r="D548" s="105"/>
      <c r="E548" s="105"/>
      <c r="F548" s="107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4.25" customHeight="1">
      <c r="A549" s="107"/>
      <c r="B549" s="105"/>
      <c r="C549" s="106"/>
      <c r="D549" s="105"/>
      <c r="E549" s="105"/>
      <c r="F549" s="107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4.25" customHeight="1">
      <c r="A550" s="107"/>
      <c r="B550" s="105"/>
      <c r="C550" s="106"/>
      <c r="D550" s="105"/>
      <c r="E550" s="105"/>
      <c r="F550" s="107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4.25" customHeight="1">
      <c r="A551" s="107"/>
      <c r="B551" s="105"/>
      <c r="C551" s="106"/>
      <c r="D551" s="105"/>
      <c r="E551" s="105"/>
      <c r="F551" s="107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4.25" customHeight="1">
      <c r="A552" s="107"/>
      <c r="B552" s="105"/>
      <c r="C552" s="106"/>
      <c r="D552" s="105"/>
      <c r="E552" s="105"/>
      <c r="F552" s="107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4.25" customHeight="1">
      <c r="A553" s="107"/>
      <c r="B553" s="105"/>
      <c r="C553" s="106"/>
      <c r="D553" s="105"/>
      <c r="E553" s="105"/>
      <c r="F553" s="107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4.25" customHeight="1">
      <c r="A554" s="107"/>
      <c r="B554" s="105"/>
      <c r="C554" s="106"/>
      <c r="D554" s="105"/>
      <c r="E554" s="105"/>
      <c r="F554" s="107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4.25" customHeight="1">
      <c r="A555" s="107"/>
      <c r="B555" s="105"/>
      <c r="C555" s="106"/>
      <c r="D555" s="105"/>
      <c r="E555" s="105"/>
      <c r="F555" s="107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4.25" customHeight="1">
      <c r="A556" s="107"/>
      <c r="B556" s="105"/>
      <c r="C556" s="106"/>
      <c r="D556" s="105"/>
      <c r="E556" s="105"/>
      <c r="F556" s="107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4.25" customHeight="1">
      <c r="A557" s="107"/>
      <c r="B557" s="105"/>
      <c r="C557" s="106"/>
      <c r="D557" s="105"/>
      <c r="E557" s="105"/>
      <c r="F557" s="107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4.25" customHeight="1">
      <c r="A558" s="107"/>
      <c r="B558" s="105"/>
      <c r="C558" s="106"/>
      <c r="D558" s="105"/>
      <c r="E558" s="105"/>
      <c r="F558" s="107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4.25" customHeight="1">
      <c r="A559" s="107"/>
      <c r="B559" s="105"/>
      <c r="C559" s="106"/>
      <c r="D559" s="105"/>
      <c r="E559" s="105"/>
      <c r="F559" s="107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4.25" customHeight="1">
      <c r="A560" s="107"/>
      <c r="B560" s="105"/>
      <c r="C560" s="106"/>
      <c r="D560" s="105"/>
      <c r="E560" s="105"/>
      <c r="F560" s="107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4.25" customHeight="1">
      <c r="A561" s="107"/>
      <c r="B561" s="105"/>
      <c r="C561" s="106"/>
      <c r="D561" s="105"/>
      <c r="E561" s="105"/>
      <c r="F561" s="107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4.25" customHeight="1">
      <c r="A562" s="107"/>
      <c r="B562" s="105"/>
      <c r="C562" s="106"/>
      <c r="D562" s="105"/>
      <c r="E562" s="105"/>
      <c r="F562" s="107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4.25" customHeight="1">
      <c r="A563" s="107"/>
      <c r="B563" s="105"/>
      <c r="C563" s="106"/>
      <c r="D563" s="105"/>
      <c r="E563" s="105"/>
      <c r="F563" s="107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4.25" customHeight="1">
      <c r="A564" s="107"/>
      <c r="B564" s="105"/>
      <c r="C564" s="106"/>
      <c r="D564" s="105"/>
      <c r="E564" s="105"/>
      <c r="F564" s="107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4.25" customHeight="1">
      <c r="A565" s="107"/>
      <c r="B565" s="105"/>
      <c r="C565" s="106"/>
      <c r="D565" s="105"/>
      <c r="E565" s="105"/>
      <c r="F565" s="107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4.25" customHeight="1">
      <c r="A566" s="107"/>
      <c r="B566" s="105"/>
      <c r="C566" s="106"/>
      <c r="D566" s="105"/>
      <c r="E566" s="105"/>
      <c r="F566" s="107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4.25" customHeight="1">
      <c r="A567" s="107"/>
      <c r="B567" s="105"/>
      <c r="C567" s="106"/>
      <c r="D567" s="105"/>
      <c r="E567" s="105"/>
      <c r="F567" s="107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4.25" customHeight="1">
      <c r="A568" s="107"/>
      <c r="B568" s="105"/>
      <c r="C568" s="106"/>
      <c r="D568" s="105"/>
      <c r="E568" s="105"/>
      <c r="F568" s="107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4.25" customHeight="1">
      <c r="A569" s="107"/>
      <c r="B569" s="105"/>
      <c r="C569" s="106"/>
      <c r="D569" s="105"/>
      <c r="E569" s="105"/>
      <c r="F569" s="107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4.25" customHeight="1">
      <c r="A570" s="107"/>
      <c r="B570" s="105"/>
      <c r="C570" s="106"/>
      <c r="D570" s="105"/>
      <c r="E570" s="105"/>
      <c r="F570" s="107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4.25" customHeight="1">
      <c r="A571" s="107"/>
      <c r="B571" s="105"/>
      <c r="C571" s="106"/>
      <c r="D571" s="105"/>
      <c r="E571" s="105"/>
      <c r="F571" s="107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4.25" customHeight="1">
      <c r="A572" s="107"/>
      <c r="B572" s="105"/>
      <c r="C572" s="106"/>
      <c r="D572" s="105"/>
      <c r="E572" s="105"/>
      <c r="F572" s="107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4.25" customHeight="1">
      <c r="A573" s="107"/>
      <c r="B573" s="105"/>
      <c r="C573" s="106"/>
      <c r="D573" s="105"/>
      <c r="E573" s="105"/>
      <c r="F573" s="107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4.25" customHeight="1">
      <c r="A574" s="107"/>
      <c r="B574" s="105"/>
      <c r="C574" s="106"/>
      <c r="D574" s="105"/>
      <c r="E574" s="105"/>
      <c r="F574" s="107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4.25" customHeight="1">
      <c r="A575" s="107"/>
      <c r="B575" s="105"/>
      <c r="C575" s="106"/>
      <c r="D575" s="105"/>
      <c r="E575" s="105"/>
      <c r="F575" s="107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4.25" customHeight="1">
      <c r="A576" s="107"/>
      <c r="B576" s="105"/>
      <c r="C576" s="106"/>
      <c r="D576" s="105"/>
      <c r="E576" s="105"/>
      <c r="F576" s="107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4.25" customHeight="1">
      <c r="A577" s="107"/>
      <c r="B577" s="105"/>
      <c r="C577" s="106"/>
      <c r="D577" s="105"/>
      <c r="E577" s="105"/>
      <c r="F577" s="107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4.25" customHeight="1">
      <c r="A578" s="107"/>
      <c r="B578" s="105"/>
      <c r="C578" s="106"/>
      <c r="D578" s="105"/>
      <c r="E578" s="105"/>
      <c r="F578" s="107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4.25" customHeight="1">
      <c r="A579" s="107"/>
      <c r="B579" s="105"/>
      <c r="C579" s="106"/>
      <c r="D579" s="105"/>
      <c r="E579" s="105"/>
      <c r="F579" s="107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4.25" customHeight="1">
      <c r="A580" s="107"/>
      <c r="B580" s="105"/>
      <c r="C580" s="106"/>
      <c r="D580" s="105"/>
      <c r="E580" s="105"/>
      <c r="F580" s="107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4.25" customHeight="1">
      <c r="A581" s="107"/>
      <c r="B581" s="105"/>
      <c r="C581" s="106"/>
      <c r="D581" s="105"/>
      <c r="E581" s="105"/>
      <c r="F581" s="107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4.25" customHeight="1">
      <c r="A582" s="107"/>
      <c r="B582" s="105"/>
      <c r="C582" s="106"/>
      <c r="D582" s="105"/>
      <c r="E582" s="105"/>
      <c r="F582" s="107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4.25" customHeight="1">
      <c r="A583" s="107"/>
      <c r="B583" s="105"/>
      <c r="C583" s="106"/>
      <c r="D583" s="105"/>
      <c r="E583" s="105"/>
      <c r="F583" s="107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4.25" customHeight="1">
      <c r="A584" s="107"/>
      <c r="B584" s="105"/>
      <c r="C584" s="106"/>
      <c r="D584" s="105"/>
      <c r="E584" s="105"/>
      <c r="F584" s="107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4.25" customHeight="1">
      <c r="A585" s="107"/>
      <c r="B585" s="105"/>
      <c r="C585" s="106"/>
      <c r="D585" s="105"/>
      <c r="E585" s="105"/>
      <c r="F585" s="107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4.25" customHeight="1">
      <c r="A586" s="107"/>
      <c r="B586" s="105"/>
      <c r="C586" s="106"/>
      <c r="D586" s="105"/>
      <c r="E586" s="105"/>
      <c r="F586" s="107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4.25" customHeight="1">
      <c r="A587" s="107"/>
      <c r="B587" s="105"/>
      <c r="C587" s="106"/>
      <c r="D587" s="105"/>
      <c r="E587" s="105"/>
      <c r="F587" s="107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4.25" customHeight="1">
      <c r="A588" s="107"/>
      <c r="B588" s="105"/>
      <c r="C588" s="106"/>
      <c r="D588" s="105"/>
      <c r="E588" s="105"/>
      <c r="F588" s="107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4.25" customHeight="1">
      <c r="A589" s="107"/>
      <c r="B589" s="105"/>
      <c r="C589" s="106"/>
      <c r="D589" s="105"/>
      <c r="E589" s="105"/>
      <c r="F589" s="107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4.25" customHeight="1">
      <c r="A590" s="107"/>
      <c r="B590" s="105"/>
      <c r="C590" s="106"/>
      <c r="D590" s="105"/>
      <c r="E590" s="105"/>
      <c r="F590" s="107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4.25" customHeight="1">
      <c r="A591" s="107"/>
      <c r="B591" s="105"/>
      <c r="C591" s="106"/>
      <c r="D591" s="105"/>
      <c r="E591" s="105"/>
      <c r="F591" s="107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4.25" customHeight="1">
      <c r="A592" s="107"/>
      <c r="B592" s="105"/>
      <c r="C592" s="106"/>
      <c r="D592" s="105"/>
      <c r="E592" s="105"/>
      <c r="F592" s="107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4.25" customHeight="1">
      <c r="A593" s="107"/>
      <c r="B593" s="105"/>
      <c r="C593" s="106"/>
      <c r="D593" s="105"/>
      <c r="E593" s="105"/>
      <c r="F593" s="107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4.25" customHeight="1">
      <c r="A594" s="107"/>
      <c r="B594" s="105"/>
      <c r="C594" s="106"/>
      <c r="D594" s="105"/>
      <c r="E594" s="105"/>
      <c r="F594" s="107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4.25" customHeight="1">
      <c r="A595" s="107"/>
      <c r="B595" s="105"/>
      <c r="C595" s="106"/>
      <c r="D595" s="105"/>
      <c r="E595" s="105"/>
      <c r="F595" s="107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4.25" customHeight="1">
      <c r="A596" s="107"/>
      <c r="B596" s="105"/>
      <c r="C596" s="106"/>
      <c r="D596" s="105"/>
      <c r="E596" s="105"/>
      <c r="F596" s="107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4.25" customHeight="1">
      <c r="A597" s="107"/>
      <c r="B597" s="105"/>
      <c r="C597" s="106"/>
      <c r="D597" s="105"/>
      <c r="E597" s="105"/>
      <c r="F597" s="107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4.25" customHeight="1">
      <c r="A598" s="107"/>
      <c r="B598" s="105"/>
      <c r="C598" s="106"/>
      <c r="D598" s="105"/>
      <c r="E598" s="105"/>
      <c r="F598" s="107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4.25" customHeight="1">
      <c r="A599" s="107"/>
      <c r="B599" s="105"/>
      <c r="C599" s="106"/>
      <c r="D599" s="105"/>
      <c r="E599" s="105"/>
      <c r="F599" s="107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4.25" customHeight="1">
      <c r="A600" s="107"/>
      <c r="B600" s="105"/>
      <c r="C600" s="106"/>
      <c r="D600" s="105"/>
      <c r="E600" s="105"/>
      <c r="F600" s="107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4.25" customHeight="1">
      <c r="A601" s="107"/>
      <c r="B601" s="105"/>
      <c r="C601" s="106"/>
      <c r="D601" s="105"/>
      <c r="E601" s="105"/>
      <c r="F601" s="107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4.25" customHeight="1">
      <c r="A602" s="107"/>
      <c r="B602" s="105"/>
      <c r="C602" s="106"/>
      <c r="D602" s="105"/>
      <c r="E602" s="105"/>
      <c r="F602" s="107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4.25" customHeight="1">
      <c r="A603" s="107"/>
      <c r="B603" s="105"/>
      <c r="C603" s="106"/>
      <c r="D603" s="105"/>
      <c r="E603" s="105"/>
      <c r="F603" s="107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4.25" customHeight="1">
      <c r="A604" s="107"/>
      <c r="B604" s="105"/>
      <c r="C604" s="106"/>
      <c r="D604" s="105"/>
      <c r="E604" s="105"/>
      <c r="F604" s="107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4.25" customHeight="1">
      <c r="A605" s="107"/>
      <c r="B605" s="105"/>
      <c r="C605" s="106"/>
      <c r="D605" s="105"/>
      <c r="E605" s="105"/>
      <c r="F605" s="107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4.25" customHeight="1">
      <c r="A606" s="107"/>
      <c r="B606" s="105"/>
      <c r="C606" s="106"/>
      <c r="D606" s="105"/>
      <c r="E606" s="105"/>
      <c r="F606" s="107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4.25" customHeight="1">
      <c r="A607" s="107"/>
      <c r="B607" s="105"/>
      <c r="C607" s="106"/>
      <c r="D607" s="105"/>
      <c r="E607" s="105"/>
      <c r="F607" s="107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4.25" customHeight="1">
      <c r="A608" s="107"/>
      <c r="B608" s="105"/>
      <c r="C608" s="106"/>
      <c r="D608" s="105"/>
      <c r="E608" s="105"/>
      <c r="F608" s="107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4.25" customHeight="1">
      <c r="A609" s="107"/>
      <c r="B609" s="105"/>
      <c r="C609" s="106"/>
      <c r="D609" s="105"/>
      <c r="E609" s="105"/>
      <c r="F609" s="107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4.25" customHeight="1">
      <c r="A610" s="107"/>
      <c r="B610" s="105"/>
      <c r="C610" s="106"/>
      <c r="D610" s="105"/>
      <c r="E610" s="105"/>
      <c r="F610" s="107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4.25" customHeight="1">
      <c r="A611" s="107"/>
      <c r="B611" s="105"/>
      <c r="C611" s="106"/>
      <c r="D611" s="105"/>
      <c r="E611" s="105"/>
      <c r="F611" s="107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4.25" customHeight="1">
      <c r="A612" s="107"/>
      <c r="B612" s="105"/>
      <c r="C612" s="106"/>
      <c r="D612" s="105"/>
      <c r="E612" s="105"/>
      <c r="F612" s="107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4.25" customHeight="1">
      <c r="A613" s="107"/>
      <c r="B613" s="105"/>
      <c r="C613" s="106"/>
      <c r="D613" s="105"/>
      <c r="E613" s="105"/>
      <c r="F613" s="107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4.25" customHeight="1">
      <c r="A614" s="107"/>
      <c r="B614" s="105"/>
      <c r="C614" s="106"/>
      <c r="D614" s="105"/>
      <c r="E614" s="105"/>
      <c r="F614" s="107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4.25" customHeight="1">
      <c r="A615" s="107"/>
      <c r="B615" s="105"/>
      <c r="C615" s="106"/>
      <c r="D615" s="105"/>
      <c r="E615" s="105"/>
      <c r="F615" s="107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4.25" customHeight="1">
      <c r="A616" s="107"/>
      <c r="B616" s="105"/>
      <c r="C616" s="106"/>
      <c r="D616" s="105"/>
      <c r="E616" s="105"/>
      <c r="F616" s="107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4.25" customHeight="1">
      <c r="A617" s="107"/>
      <c r="B617" s="105"/>
      <c r="C617" s="106"/>
      <c r="D617" s="105"/>
      <c r="E617" s="105"/>
      <c r="F617" s="107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4.25" customHeight="1">
      <c r="A618" s="107"/>
      <c r="B618" s="105"/>
      <c r="C618" s="106"/>
      <c r="D618" s="105"/>
      <c r="E618" s="105"/>
      <c r="F618" s="107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4.25" customHeight="1">
      <c r="A619" s="107"/>
      <c r="B619" s="105"/>
      <c r="C619" s="106"/>
      <c r="D619" s="105"/>
      <c r="E619" s="105"/>
      <c r="F619" s="107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4.25" customHeight="1">
      <c r="A620" s="107"/>
      <c r="B620" s="105"/>
      <c r="C620" s="106"/>
      <c r="D620" s="105"/>
      <c r="E620" s="105"/>
      <c r="F620" s="107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4.25" customHeight="1">
      <c r="A621" s="107"/>
      <c r="B621" s="105"/>
      <c r="C621" s="106"/>
      <c r="D621" s="105"/>
      <c r="E621" s="105"/>
      <c r="F621" s="107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4.25" customHeight="1">
      <c r="A622" s="107"/>
      <c r="B622" s="105"/>
      <c r="C622" s="106"/>
      <c r="D622" s="105"/>
      <c r="E622" s="105"/>
      <c r="F622" s="107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4.25" customHeight="1">
      <c r="A623" s="107"/>
      <c r="B623" s="105"/>
      <c r="C623" s="106"/>
      <c r="D623" s="105"/>
      <c r="E623" s="105"/>
      <c r="F623" s="107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4.25" customHeight="1">
      <c r="A624" s="107"/>
      <c r="B624" s="105"/>
      <c r="C624" s="106"/>
      <c r="D624" s="105"/>
      <c r="E624" s="105"/>
      <c r="F624" s="107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4.25" customHeight="1">
      <c r="A625" s="107"/>
      <c r="B625" s="105"/>
      <c r="C625" s="106"/>
      <c r="D625" s="105"/>
      <c r="E625" s="105"/>
      <c r="F625" s="107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4.25" customHeight="1">
      <c r="A626" s="107"/>
      <c r="B626" s="105"/>
      <c r="C626" s="106"/>
      <c r="D626" s="105"/>
      <c r="E626" s="105"/>
      <c r="F626" s="107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4.25" customHeight="1">
      <c r="A627" s="107"/>
      <c r="B627" s="105"/>
      <c r="C627" s="106"/>
      <c r="D627" s="105"/>
      <c r="E627" s="105"/>
      <c r="F627" s="107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4.25" customHeight="1">
      <c r="A628" s="107"/>
      <c r="B628" s="105"/>
      <c r="C628" s="106"/>
      <c r="D628" s="105"/>
      <c r="E628" s="105"/>
      <c r="F628" s="107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4.25" customHeight="1">
      <c r="A629" s="107"/>
      <c r="B629" s="105"/>
      <c r="C629" s="106"/>
      <c r="D629" s="105"/>
      <c r="E629" s="105"/>
      <c r="F629" s="107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4.25" customHeight="1">
      <c r="A630" s="107"/>
      <c r="B630" s="105"/>
      <c r="C630" s="106"/>
      <c r="D630" s="105"/>
      <c r="E630" s="105"/>
      <c r="F630" s="107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4.25" customHeight="1">
      <c r="A631" s="107"/>
      <c r="B631" s="105"/>
      <c r="C631" s="106"/>
      <c r="D631" s="105"/>
      <c r="E631" s="105"/>
      <c r="F631" s="107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4.25" customHeight="1">
      <c r="A632" s="107"/>
      <c r="B632" s="105"/>
      <c r="C632" s="106"/>
      <c r="D632" s="105"/>
      <c r="E632" s="105"/>
      <c r="F632" s="107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4.25" customHeight="1">
      <c r="A633" s="107"/>
      <c r="B633" s="105"/>
      <c r="C633" s="106"/>
      <c r="D633" s="105"/>
      <c r="E633" s="105"/>
      <c r="F633" s="107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4.25" customHeight="1">
      <c r="A634" s="107"/>
      <c r="B634" s="105"/>
      <c r="C634" s="106"/>
      <c r="D634" s="105"/>
      <c r="E634" s="105"/>
      <c r="F634" s="107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4.25" customHeight="1">
      <c r="A635" s="107"/>
      <c r="B635" s="105"/>
      <c r="C635" s="106"/>
      <c r="D635" s="105"/>
      <c r="E635" s="105"/>
      <c r="F635" s="107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4.25" customHeight="1">
      <c r="A636" s="107"/>
      <c r="B636" s="105"/>
      <c r="C636" s="106"/>
      <c r="D636" s="105"/>
      <c r="E636" s="105"/>
      <c r="F636" s="107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4.25" customHeight="1">
      <c r="A637" s="107"/>
      <c r="B637" s="105"/>
      <c r="C637" s="106"/>
      <c r="D637" s="105"/>
      <c r="E637" s="105"/>
      <c r="F637" s="107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4.25" customHeight="1">
      <c r="A638" s="107"/>
      <c r="B638" s="105"/>
      <c r="C638" s="106"/>
      <c r="D638" s="105"/>
      <c r="E638" s="105"/>
      <c r="F638" s="107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4.25" customHeight="1">
      <c r="A639" s="107"/>
      <c r="B639" s="105"/>
      <c r="C639" s="106"/>
      <c r="D639" s="105"/>
      <c r="E639" s="105"/>
      <c r="F639" s="107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4.25" customHeight="1">
      <c r="A640" s="107"/>
      <c r="B640" s="105"/>
      <c r="C640" s="106"/>
      <c r="D640" s="105"/>
      <c r="E640" s="105"/>
      <c r="F640" s="107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4.25" customHeight="1">
      <c r="A641" s="107"/>
      <c r="B641" s="105"/>
      <c r="C641" s="106"/>
      <c r="D641" s="105"/>
      <c r="E641" s="105"/>
      <c r="F641" s="107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4.25" customHeight="1">
      <c r="A642" s="107"/>
      <c r="B642" s="105"/>
      <c r="C642" s="106"/>
      <c r="D642" s="105"/>
      <c r="E642" s="105"/>
      <c r="F642" s="107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4.25" customHeight="1">
      <c r="A643" s="107"/>
      <c r="B643" s="105"/>
      <c r="C643" s="106"/>
      <c r="D643" s="105"/>
      <c r="E643" s="105"/>
      <c r="F643" s="107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4.25" customHeight="1">
      <c r="A644" s="107"/>
      <c r="B644" s="105"/>
      <c r="C644" s="106"/>
      <c r="D644" s="105"/>
      <c r="E644" s="105"/>
      <c r="F644" s="107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4.25" customHeight="1">
      <c r="A645" s="107"/>
      <c r="B645" s="105"/>
      <c r="C645" s="106"/>
      <c r="D645" s="105"/>
      <c r="E645" s="105"/>
      <c r="F645" s="107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4.25" customHeight="1">
      <c r="A646" s="107"/>
      <c r="B646" s="105"/>
      <c r="C646" s="106"/>
      <c r="D646" s="105"/>
      <c r="E646" s="105"/>
      <c r="F646" s="107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4.25" customHeight="1">
      <c r="A647" s="107"/>
      <c r="B647" s="105"/>
      <c r="C647" s="106"/>
      <c r="D647" s="105"/>
      <c r="E647" s="105"/>
      <c r="F647" s="107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4.25" customHeight="1">
      <c r="A648" s="107"/>
      <c r="B648" s="105"/>
      <c r="C648" s="106"/>
      <c r="D648" s="105"/>
      <c r="E648" s="105"/>
      <c r="F648" s="107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4.25" customHeight="1">
      <c r="A649" s="107"/>
      <c r="B649" s="105"/>
      <c r="C649" s="106"/>
      <c r="D649" s="105"/>
      <c r="E649" s="105"/>
      <c r="F649" s="107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4.25" customHeight="1">
      <c r="A650" s="107"/>
      <c r="B650" s="105"/>
      <c r="C650" s="106"/>
      <c r="D650" s="105"/>
      <c r="E650" s="105"/>
      <c r="F650" s="107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4.25" customHeight="1">
      <c r="A651" s="107"/>
      <c r="B651" s="105"/>
      <c r="C651" s="106"/>
      <c r="D651" s="105"/>
      <c r="E651" s="105"/>
      <c r="F651" s="107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4.25" customHeight="1">
      <c r="A652" s="107"/>
      <c r="B652" s="105"/>
      <c r="C652" s="106"/>
      <c r="D652" s="105"/>
      <c r="E652" s="105"/>
      <c r="F652" s="107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4.25" customHeight="1">
      <c r="A653" s="107"/>
      <c r="B653" s="105"/>
      <c r="C653" s="106"/>
      <c r="D653" s="105"/>
      <c r="E653" s="105"/>
      <c r="F653" s="107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4.25" customHeight="1">
      <c r="A654" s="107"/>
      <c r="B654" s="105"/>
      <c r="C654" s="106"/>
      <c r="D654" s="105"/>
      <c r="E654" s="105"/>
      <c r="F654" s="107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4.25" customHeight="1">
      <c r="A655" s="107"/>
      <c r="B655" s="105"/>
      <c r="C655" s="106"/>
      <c r="D655" s="105"/>
      <c r="E655" s="105"/>
      <c r="F655" s="107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4.25" customHeight="1">
      <c r="A656" s="107"/>
      <c r="B656" s="105"/>
      <c r="C656" s="106"/>
      <c r="D656" s="105"/>
      <c r="E656" s="105"/>
      <c r="F656" s="107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4.25" customHeight="1">
      <c r="A657" s="107"/>
      <c r="B657" s="105"/>
      <c r="C657" s="106"/>
      <c r="D657" s="105"/>
      <c r="E657" s="105"/>
      <c r="F657" s="107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4.25" customHeight="1">
      <c r="A658" s="107"/>
      <c r="B658" s="105"/>
      <c r="C658" s="106"/>
      <c r="D658" s="105"/>
      <c r="E658" s="105"/>
      <c r="F658" s="107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4.25" customHeight="1">
      <c r="A659" s="107"/>
      <c r="B659" s="105"/>
      <c r="C659" s="106"/>
      <c r="D659" s="105"/>
      <c r="E659" s="105"/>
      <c r="F659" s="107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4.25" customHeight="1">
      <c r="A660" s="107"/>
      <c r="B660" s="105"/>
      <c r="C660" s="106"/>
      <c r="D660" s="105"/>
      <c r="E660" s="105"/>
      <c r="F660" s="107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4.25" customHeight="1">
      <c r="A661" s="107"/>
      <c r="B661" s="105"/>
      <c r="C661" s="106"/>
      <c r="D661" s="105"/>
      <c r="E661" s="105"/>
      <c r="F661" s="107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4.25" customHeight="1">
      <c r="A662" s="107"/>
      <c r="B662" s="105"/>
      <c r="C662" s="106"/>
      <c r="D662" s="105"/>
      <c r="E662" s="105"/>
      <c r="F662" s="107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4.25" customHeight="1">
      <c r="A663" s="107"/>
      <c r="B663" s="105"/>
      <c r="C663" s="106"/>
      <c r="D663" s="105"/>
      <c r="E663" s="105"/>
      <c r="F663" s="107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4.25" customHeight="1">
      <c r="A664" s="107"/>
      <c r="B664" s="105"/>
      <c r="C664" s="106"/>
      <c r="D664" s="105"/>
      <c r="E664" s="105"/>
      <c r="F664" s="107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4.25" customHeight="1">
      <c r="A665" s="107"/>
      <c r="B665" s="105"/>
      <c r="C665" s="106"/>
      <c r="D665" s="105"/>
      <c r="E665" s="105"/>
      <c r="F665" s="107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4.25" customHeight="1">
      <c r="A666" s="107"/>
      <c r="B666" s="105"/>
      <c r="C666" s="106"/>
      <c r="D666" s="105"/>
      <c r="E666" s="105"/>
      <c r="F666" s="107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4.25" customHeight="1">
      <c r="A667" s="107"/>
      <c r="B667" s="105"/>
      <c r="C667" s="106"/>
      <c r="D667" s="105"/>
      <c r="E667" s="105"/>
      <c r="F667" s="107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4.25" customHeight="1">
      <c r="A668" s="107"/>
      <c r="B668" s="105"/>
      <c r="C668" s="106"/>
      <c r="D668" s="105"/>
      <c r="E668" s="105"/>
      <c r="F668" s="107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4.25" customHeight="1">
      <c r="A669" s="107"/>
      <c r="B669" s="105"/>
      <c r="C669" s="106"/>
      <c r="D669" s="105"/>
      <c r="E669" s="105"/>
      <c r="F669" s="107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4.25" customHeight="1">
      <c r="A670" s="107"/>
      <c r="B670" s="105"/>
      <c r="C670" s="106"/>
      <c r="D670" s="105"/>
      <c r="E670" s="105"/>
      <c r="F670" s="107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4.25" customHeight="1">
      <c r="A671" s="107"/>
      <c r="B671" s="105"/>
      <c r="C671" s="106"/>
      <c r="D671" s="105"/>
      <c r="E671" s="105"/>
      <c r="F671" s="107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4.25" customHeight="1">
      <c r="A672" s="107"/>
      <c r="B672" s="105"/>
      <c r="C672" s="106"/>
      <c r="D672" s="105"/>
      <c r="E672" s="105"/>
      <c r="F672" s="107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4.25" customHeight="1">
      <c r="A673" s="107"/>
      <c r="B673" s="105"/>
      <c r="C673" s="106"/>
      <c r="D673" s="105"/>
      <c r="E673" s="105"/>
      <c r="F673" s="107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4.25" customHeight="1">
      <c r="A674" s="107"/>
      <c r="B674" s="105"/>
      <c r="C674" s="106"/>
      <c r="D674" s="105"/>
      <c r="E674" s="105"/>
      <c r="F674" s="107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4.25" customHeight="1">
      <c r="A675" s="107"/>
      <c r="B675" s="105"/>
      <c r="C675" s="106"/>
      <c r="D675" s="105"/>
      <c r="E675" s="105"/>
      <c r="F675" s="107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4.25" customHeight="1">
      <c r="A676" s="107"/>
      <c r="B676" s="105"/>
      <c r="C676" s="106"/>
      <c r="D676" s="105"/>
      <c r="E676" s="105"/>
      <c r="F676" s="107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4.25" customHeight="1">
      <c r="A677" s="107"/>
      <c r="B677" s="105"/>
      <c r="C677" s="106"/>
      <c r="D677" s="105"/>
      <c r="E677" s="105"/>
      <c r="F677" s="107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4.25" customHeight="1">
      <c r="A678" s="107"/>
      <c r="B678" s="105"/>
      <c r="C678" s="106"/>
      <c r="D678" s="105"/>
      <c r="E678" s="105"/>
      <c r="F678" s="107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4.25" customHeight="1">
      <c r="A679" s="107"/>
      <c r="B679" s="105"/>
      <c r="C679" s="106"/>
      <c r="D679" s="105"/>
      <c r="E679" s="105"/>
      <c r="F679" s="107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4.25" customHeight="1">
      <c r="A680" s="107"/>
      <c r="B680" s="105"/>
      <c r="C680" s="106"/>
      <c r="D680" s="105"/>
      <c r="E680" s="105"/>
      <c r="F680" s="107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4.25" customHeight="1">
      <c r="A681" s="107"/>
      <c r="B681" s="105"/>
      <c r="C681" s="106"/>
      <c r="D681" s="105"/>
      <c r="E681" s="105"/>
      <c r="F681" s="107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4.25" customHeight="1">
      <c r="A682" s="107"/>
      <c r="B682" s="105"/>
      <c r="C682" s="106"/>
      <c r="D682" s="105"/>
      <c r="E682" s="105"/>
      <c r="F682" s="107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4.25" customHeight="1">
      <c r="A683" s="107"/>
      <c r="B683" s="105"/>
      <c r="C683" s="106"/>
      <c r="D683" s="105"/>
      <c r="E683" s="105"/>
      <c r="F683" s="107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4.25" customHeight="1">
      <c r="A684" s="107"/>
      <c r="B684" s="105"/>
      <c r="C684" s="106"/>
      <c r="D684" s="105"/>
      <c r="E684" s="105"/>
      <c r="F684" s="107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4.25" customHeight="1">
      <c r="A685" s="107"/>
      <c r="B685" s="105"/>
      <c r="C685" s="106"/>
      <c r="D685" s="105"/>
      <c r="E685" s="105"/>
      <c r="F685" s="107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4.25" customHeight="1">
      <c r="A686" s="107"/>
      <c r="B686" s="105"/>
      <c r="C686" s="106"/>
      <c r="D686" s="105"/>
      <c r="E686" s="105"/>
      <c r="F686" s="107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4.25" customHeight="1">
      <c r="A687" s="107"/>
      <c r="B687" s="105"/>
      <c r="C687" s="106"/>
      <c r="D687" s="105"/>
      <c r="E687" s="105"/>
      <c r="F687" s="107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4.25" customHeight="1">
      <c r="A688" s="107"/>
      <c r="B688" s="105"/>
      <c r="C688" s="106"/>
      <c r="D688" s="105"/>
      <c r="E688" s="105"/>
      <c r="F688" s="107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4.25" customHeight="1">
      <c r="A689" s="107"/>
      <c r="B689" s="105"/>
      <c r="C689" s="106"/>
      <c r="D689" s="105"/>
      <c r="E689" s="105"/>
      <c r="F689" s="107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4.25" customHeight="1">
      <c r="A690" s="107"/>
      <c r="B690" s="105"/>
      <c r="C690" s="106"/>
      <c r="D690" s="105"/>
      <c r="E690" s="105"/>
      <c r="F690" s="107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4.25" customHeight="1">
      <c r="A691" s="107"/>
      <c r="B691" s="105"/>
      <c r="C691" s="106"/>
      <c r="D691" s="105"/>
      <c r="E691" s="105"/>
      <c r="F691" s="107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4.25" customHeight="1">
      <c r="A692" s="107"/>
      <c r="B692" s="105"/>
      <c r="C692" s="106"/>
      <c r="D692" s="105"/>
      <c r="E692" s="105"/>
      <c r="F692" s="107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4.25" customHeight="1">
      <c r="A693" s="107"/>
      <c r="B693" s="105"/>
      <c r="C693" s="106"/>
      <c r="D693" s="105"/>
      <c r="E693" s="105"/>
      <c r="F693" s="107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4.25" customHeight="1">
      <c r="A694" s="107"/>
      <c r="B694" s="105"/>
      <c r="C694" s="106"/>
      <c r="D694" s="105"/>
      <c r="E694" s="105"/>
      <c r="F694" s="107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4.25" customHeight="1">
      <c r="A695" s="107"/>
      <c r="B695" s="105"/>
      <c r="C695" s="106"/>
      <c r="D695" s="105"/>
      <c r="E695" s="105"/>
      <c r="F695" s="107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4.25" customHeight="1">
      <c r="A696" s="107"/>
      <c r="B696" s="105"/>
      <c r="C696" s="106"/>
      <c r="D696" s="105"/>
      <c r="E696" s="105"/>
      <c r="F696" s="107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4.25" customHeight="1">
      <c r="A697" s="107"/>
      <c r="B697" s="105"/>
      <c r="C697" s="106"/>
      <c r="D697" s="105"/>
      <c r="E697" s="105"/>
      <c r="F697" s="107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4.25" customHeight="1">
      <c r="A698" s="107"/>
      <c r="B698" s="105"/>
      <c r="C698" s="106"/>
      <c r="D698" s="105"/>
      <c r="E698" s="105"/>
      <c r="F698" s="107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4.25" customHeight="1">
      <c r="A699" s="107"/>
      <c r="B699" s="105"/>
      <c r="C699" s="106"/>
      <c r="D699" s="105"/>
      <c r="E699" s="105"/>
      <c r="F699" s="107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4.25" customHeight="1">
      <c r="A700" s="107"/>
      <c r="B700" s="105"/>
      <c r="C700" s="106"/>
      <c r="D700" s="105"/>
      <c r="E700" s="105"/>
      <c r="F700" s="107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4.25" customHeight="1">
      <c r="A701" s="107"/>
      <c r="B701" s="105"/>
      <c r="C701" s="106"/>
      <c r="D701" s="105"/>
      <c r="E701" s="105"/>
      <c r="F701" s="107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4.25" customHeight="1">
      <c r="A702" s="107"/>
      <c r="B702" s="105"/>
      <c r="C702" s="106"/>
      <c r="D702" s="105"/>
      <c r="E702" s="105"/>
      <c r="F702" s="107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4.25" customHeight="1">
      <c r="A703" s="107"/>
      <c r="B703" s="105"/>
      <c r="C703" s="106"/>
      <c r="D703" s="105"/>
      <c r="E703" s="105"/>
      <c r="F703" s="107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4.25" customHeight="1">
      <c r="A704" s="107"/>
      <c r="B704" s="105"/>
      <c r="C704" s="106"/>
      <c r="D704" s="105"/>
      <c r="E704" s="105"/>
      <c r="F704" s="107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4.25" customHeight="1">
      <c r="A705" s="107"/>
      <c r="B705" s="105"/>
      <c r="C705" s="106"/>
      <c r="D705" s="105"/>
      <c r="E705" s="105"/>
      <c r="F705" s="107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4.25" customHeight="1">
      <c r="A706" s="107"/>
      <c r="B706" s="105"/>
      <c r="C706" s="106"/>
      <c r="D706" s="105"/>
      <c r="E706" s="105"/>
      <c r="F706" s="107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4.25" customHeight="1">
      <c r="A707" s="107"/>
      <c r="B707" s="105"/>
      <c r="C707" s="106"/>
      <c r="D707" s="105"/>
      <c r="E707" s="105"/>
      <c r="F707" s="107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4.25" customHeight="1">
      <c r="A708" s="107"/>
      <c r="B708" s="105"/>
      <c r="C708" s="106"/>
      <c r="D708" s="105"/>
      <c r="E708" s="105"/>
      <c r="F708" s="107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4.25" customHeight="1">
      <c r="A709" s="107"/>
      <c r="B709" s="105"/>
      <c r="C709" s="106"/>
      <c r="D709" s="105"/>
      <c r="E709" s="105"/>
      <c r="F709" s="107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4.25" customHeight="1">
      <c r="A710" s="107"/>
      <c r="B710" s="105"/>
      <c r="C710" s="106"/>
      <c r="D710" s="105"/>
      <c r="E710" s="105"/>
      <c r="F710" s="107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4.25" customHeight="1">
      <c r="A711" s="107"/>
      <c r="B711" s="105"/>
      <c r="C711" s="106"/>
      <c r="D711" s="105"/>
      <c r="E711" s="105"/>
      <c r="F711" s="107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4.25" customHeight="1">
      <c r="A712" s="107"/>
      <c r="B712" s="105"/>
      <c r="C712" s="106"/>
      <c r="D712" s="105"/>
      <c r="E712" s="105"/>
      <c r="F712" s="107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4.25" customHeight="1">
      <c r="A713" s="107"/>
      <c r="B713" s="105"/>
      <c r="C713" s="106"/>
      <c r="D713" s="105"/>
      <c r="E713" s="105"/>
      <c r="F713" s="107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4.25" customHeight="1">
      <c r="A714" s="107"/>
      <c r="B714" s="105"/>
      <c r="C714" s="106"/>
      <c r="D714" s="105"/>
      <c r="E714" s="105"/>
      <c r="F714" s="107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4.25" customHeight="1">
      <c r="A715" s="107"/>
      <c r="B715" s="105"/>
      <c r="C715" s="106"/>
      <c r="D715" s="105"/>
      <c r="E715" s="105"/>
      <c r="F715" s="107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4.25" customHeight="1">
      <c r="A716" s="107"/>
      <c r="B716" s="105"/>
      <c r="C716" s="106"/>
      <c r="D716" s="105"/>
      <c r="E716" s="105"/>
      <c r="F716" s="107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4.25" customHeight="1">
      <c r="A717" s="107"/>
      <c r="B717" s="105"/>
      <c r="C717" s="106"/>
      <c r="D717" s="105"/>
      <c r="E717" s="105"/>
      <c r="F717" s="107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4.25" customHeight="1">
      <c r="A718" s="107"/>
      <c r="B718" s="105"/>
      <c r="C718" s="106"/>
      <c r="D718" s="105"/>
      <c r="E718" s="105"/>
      <c r="F718" s="107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4.25" customHeight="1">
      <c r="A719" s="107"/>
      <c r="B719" s="105"/>
      <c r="C719" s="106"/>
      <c r="D719" s="105"/>
      <c r="E719" s="105"/>
      <c r="F719" s="107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4.25" customHeight="1">
      <c r="A720" s="107"/>
      <c r="B720" s="105"/>
      <c r="C720" s="106"/>
      <c r="D720" s="105"/>
      <c r="E720" s="105"/>
      <c r="F720" s="107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4.25" customHeight="1">
      <c r="A721" s="107"/>
      <c r="B721" s="105"/>
      <c r="C721" s="106"/>
      <c r="D721" s="105"/>
      <c r="E721" s="105"/>
      <c r="F721" s="107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4.25" customHeight="1">
      <c r="A722" s="107"/>
      <c r="B722" s="105"/>
      <c r="C722" s="106"/>
      <c r="D722" s="105"/>
      <c r="E722" s="105"/>
      <c r="F722" s="107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4.25" customHeight="1">
      <c r="A723" s="107"/>
      <c r="B723" s="105"/>
      <c r="C723" s="106"/>
      <c r="D723" s="105"/>
      <c r="E723" s="105"/>
      <c r="F723" s="107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4.25" customHeight="1">
      <c r="A724" s="107"/>
      <c r="B724" s="105"/>
      <c r="C724" s="106"/>
      <c r="D724" s="105"/>
      <c r="E724" s="105"/>
      <c r="F724" s="107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4.25" customHeight="1">
      <c r="A725" s="107"/>
      <c r="B725" s="105"/>
      <c r="C725" s="106"/>
      <c r="D725" s="105"/>
      <c r="E725" s="105"/>
      <c r="F725" s="107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4.25" customHeight="1">
      <c r="A726" s="107"/>
      <c r="B726" s="105"/>
      <c r="C726" s="106"/>
      <c r="D726" s="105"/>
      <c r="E726" s="105"/>
      <c r="F726" s="107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4.25" customHeight="1">
      <c r="A727" s="107"/>
      <c r="B727" s="105"/>
      <c r="C727" s="106"/>
      <c r="D727" s="105"/>
      <c r="E727" s="105"/>
      <c r="F727" s="107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4.25" customHeight="1">
      <c r="A728" s="107"/>
      <c r="B728" s="105"/>
      <c r="C728" s="106"/>
      <c r="D728" s="105"/>
      <c r="E728" s="105"/>
      <c r="F728" s="107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4.25" customHeight="1">
      <c r="A729" s="107"/>
      <c r="B729" s="105"/>
      <c r="C729" s="106"/>
      <c r="D729" s="105"/>
      <c r="E729" s="105"/>
      <c r="F729" s="107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4.25" customHeight="1">
      <c r="A730" s="107"/>
      <c r="B730" s="105"/>
      <c r="C730" s="106"/>
      <c r="D730" s="105"/>
      <c r="E730" s="105"/>
      <c r="F730" s="107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4.25" customHeight="1">
      <c r="A731" s="107"/>
      <c r="B731" s="105"/>
      <c r="C731" s="106"/>
      <c r="D731" s="105"/>
      <c r="E731" s="105"/>
      <c r="F731" s="107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4.25" customHeight="1">
      <c r="A732" s="107"/>
      <c r="B732" s="105"/>
      <c r="C732" s="106"/>
      <c r="D732" s="105"/>
      <c r="E732" s="105"/>
      <c r="F732" s="107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4.25" customHeight="1">
      <c r="A733" s="107"/>
      <c r="B733" s="105"/>
      <c r="C733" s="106"/>
      <c r="D733" s="105"/>
      <c r="E733" s="105"/>
      <c r="F733" s="107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4.25" customHeight="1">
      <c r="A734" s="107"/>
      <c r="B734" s="105"/>
      <c r="C734" s="106"/>
      <c r="D734" s="105"/>
      <c r="E734" s="105"/>
      <c r="F734" s="107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4.25" customHeight="1">
      <c r="A735" s="107"/>
      <c r="B735" s="105"/>
      <c r="C735" s="106"/>
      <c r="D735" s="105"/>
      <c r="E735" s="105"/>
      <c r="F735" s="107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4.25" customHeight="1">
      <c r="A736" s="107"/>
      <c r="B736" s="105"/>
      <c r="C736" s="106"/>
      <c r="D736" s="105"/>
      <c r="E736" s="105"/>
      <c r="F736" s="107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4.25" customHeight="1">
      <c r="A737" s="107"/>
      <c r="B737" s="105"/>
      <c r="C737" s="106"/>
      <c r="D737" s="105"/>
      <c r="E737" s="105"/>
      <c r="F737" s="107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4.25" customHeight="1">
      <c r="A738" s="107"/>
      <c r="B738" s="105"/>
      <c r="C738" s="106"/>
      <c r="D738" s="105"/>
      <c r="E738" s="105"/>
      <c r="F738" s="107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4.25" customHeight="1">
      <c r="A739" s="107"/>
      <c r="B739" s="105"/>
      <c r="C739" s="106"/>
      <c r="D739" s="105"/>
      <c r="E739" s="105"/>
      <c r="F739" s="107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4.25" customHeight="1">
      <c r="A740" s="107"/>
      <c r="B740" s="105"/>
      <c r="C740" s="106"/>
      <c r="D740" s="105"/>
      <c r="E740" s="105"/>
      <c r="F740" s="107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4.25" customHeight="1">
      <c r="A741" s="107"/>
      <c r="B741" s="105"/>
      <c r="C741" s="106"/>
      <c r="D741" s="105"/>
      <c r="E741" s="105"/>
      <c r="F741" s="107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4.25" customHeight="1">
      <c r="A742" s="107"/>
      <c r="B742" s="105"/>
      <c r="C742" s="106"/>
      <c r="D742" s="105"/>
      <c r="E742" s="105"/>
      <c r="F742" s="107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4.25" customHeight="1">
      <c r="A743" s="107"/>
      <c r="B743" s="105"/>
      <c r="C743" s="106"/>
      <c r="D743" s="105"/>
      <c r="E743" s="105"/>
      <c r="F743" s="107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4.25" customHeight="1">
      <c r="A744" s="107"/>
      <c r="B744" s="105"/>
      <c r="C744" s="106"/>
      <c r="D744" s="105"/>
      <c r="E744" s="105"/>
      <c r="F744" s="107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4.25" customHeight="1">
      <c r="A745" s="107"/>
      <c r="B745" s="105"/>
      <c r="C745" s="106"/>
      <c r="D745" s="105"/>
      <c r="E745" s="105"/>
      <c r="F745" s="107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4.25" customHeight="1">
      <c r="A746" s="107"/>
      <c r="B746" s="105"/>
      <c r="C746" s="106"/>
      <c r="D746" s="105"/>
      <c r="E746" s="105"/>
      <c r="F746" s="107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4.25" customHeight="1">
      <c r="A747" s="107"/>
      <c r="B747" s="105"/>
      <c r="C747" s="106"/>
      <c r="D747" s="105"/>
      <c r="E747" s="105"/>
      <c r="F747" s="107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4.25" customHeight="1">
      <c r="A748" s="107"/>
      <c r="B748" s="105"/>
      <c r="C748" s="106"/>
      <c r="D748" s="105"/>
      <c r="E748" s="105"/>
      <c r="F748" s="107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4.25" customHeight="1">
      <c r="A749" s="107"/>
      <c r="B749" s="105"/>
      <c r="C749" s="106"/>
      <c r="D749" s="105"/>
      <c r="E749" s="105"/>
      <c r="F749" s="107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4.25" customHeight="1">
      <c r="A750" s="107"/>
      <c r="B750" s="105"/>
      <c r="C750" s="106"/>
      <c r="D750" s="105"/>
      <c r="E750" s="105"/>
      <c r="F750" s="107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4.25" customHeight="1">
      <c r="A751" s="107"/>
      <c r="B751" s="105"/>
      <c r="C751" s="106"/>
      <c r="D751" s="105"/>
      <c r="E751" s="105"/>
      <c r="F751" s="107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4.25" customHeight="1">
      <c r="A752" s="107"/>
      <c r="B752" s="105"/>
      <c r="C752" s="106"/>
      <c r="D752" s="105"/>
      <c r="E752" s="105"/>
      <c r="F752" s="107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4.25" customHeight="1">
      <c r="A753" s="107"/>
      <c r="B753" s="105"/>
      <c r="C753" s="106"/>
      <c r="D753" s="105"/>
      <c r="E753" s="105"/>
      <c r="F753" s="107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4.25" customHeight="1">
      <c r="A754" s="107"/>
      <c r="B754" s="105"/>
      <c r="C754" s="106"/>
      <c r="D754" s="105"/>
      <c r="E754" s="105"/>
      <c r="F754" s="107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4.25" customHeight="1">
      <c r="A755" s="107"/>
      <c r="B755" s="105"/>
      <c r="C755" s="106"/>
      <c r="D755" s="105"/>
      <c r="E755" s="105"/>
      <c r="F755" s="107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4.25" customHeight="1">
      <c r="A756" s="107"/>
      <c r="B756" s="105"/>
      <c r="C756" s="106"/>
      <c r="D756" s="105"/>
      <c r="E756" s="105"/>
      <c r="F756" s="107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4.25" customHeight="1">
      <c r="A757" s="107"/>
      <c r="B757" s="105"/>
      <c r="C757" s="106"/>
      <c r="D757" s="105"/>
      <c r="E757" s="105"/>
      <c r="F757" s="107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4.25" customHeight="1">
      <c r="A758" s="107"/>
      <c r="B758" s="105"/>
      <c r="C758" s="106"/>
      <c r="D758" s="105"/>
      <c r="E758" s="105"/>
      <c r="F758" s="107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4.25" customHeight="1">
      <c r="A759" s="107"/>
      <c r="B759" s="105"/>
      <c r="C759" s="106"/>
      <c r="D759" s="105"/>
      <c r="E759" s="105"/>
      <c r="F759" s="107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4.25" customHeight="1">
      <c r="A760" s="107"/>
      <c r="B760" s="105"/>
      <c r="C760" s="106"/>
      <c r="D760" s="105"/>
      <c r="E760" s="105"/>
      <c r="F760" s="107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4.25" customHeight="1">
      <c r="A761" s="107"/>
      <c r="B761" s="105"/>
      <c r="C761" s="106"/>
      <c r="D761" s="105"/>
      <c r="E761" s="105"/>
      <c r="F761" s="107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4.25" customHeight="1">
      <c r="A762" s="107"/>
      <c r="B762" s="105"/>
      <c r="C762" s="106"/>
      <c r="D762" s="105"/>
      <c r="E762" s="105"/>
      <c r="F762" s="107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4.25" customHeight="1">
      <c r="A763" s="107"/>
      <c r="B763" s="105"/>
      <c r="C763" s="106"/>
      <c r="D763" s="105"/>
      <c r="E763" s="105"/>
      <c r="F763" s="107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4.25" customHeight="1">
      <c r="A764" s="107"/>
      <c r="B764" s="105"/>
      <c r="C764" s="106"/>
      <c r="D764" s="105"/>
      <c r="E764" s="105"/>
      <c r="F764" s="107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4.25" customHeight="1">
      <c r="A765" s="107"/>
      <c r="B765" s="105"/>
      <c r="C765" s="106"/>
      <c r="D765" s="105"/>
      <c r="E765" s="105"/>
      <c r="F765" s="107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4.25" customHeight="1">
      <c r="A766" s="107"/>
      <c r="B766" s="105"/>
      <c r="C766" s="106"/>
      <c r="D766" s="105"/>
      <c r="E766" s="105"/>
      <c r="F766" s="107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4.25" customHeight="1">
      <c r="A767" s="107"/>
      <c r="B767" s="105"/>
      <c r="C767" s="106"/>
      <c r="D767" s="105"/>
      <c r="E767" s="105"/>
      <c r="F767" s="107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4.25" customHeight="1">
      <c r="A768" s="107"/>
      <c r="B768" s="105"/>
      <c r="C768" s="106"/>
      <c r="D768" s="105"/>
      <c r="E768" s="105"/>
      <c r="F768" s="107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4.25" customHeight="1">
      <c r="A769" s="107"/>
      <c r="B769" s="105"/>
      <c r="C769" s="106"/>
      <c r="D769" s="105"/>
      <c r="E769" s="105"/>
      <c r="F769" s="107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4.25" customHeight="1">
      <c r="A770" s="107"/>
      <c r="B770" s="105"/>
      <c r="C770" s="106"/>
      <c r="D770" s="105"/>
      <c r="E770" s="105"/>
      <c r="F770" s="107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4.25" customHeight="1">
      <c r="A771" s="107"/>
      <c r="B771" s="105"/>
      <c r="C771" s="106"/>
      <c r="D771" s="105"/>
      <c r="E771" s="105"/>
      <c r="F771" s="107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4.25" customHeight="1">
      <c r="A772" s="107"/>
      <c r="B772" s="105"/>
      <c r="C772" s="106"/>
      <c r="D772" s="105"/>
      <c r="E772" s="105"/>
      <c r="F772" s="107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4.25" customHeight="1">
      <c r="A773" s="107"/>
      <c r="B773" s="105"/>
      <c r="C773" s="106"/>
      <c r="D773" s="105"/>
      <c r="E773" s="105"/>
      <c r="F773" s="107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4.25" customHeight="1">
      <c r="A774" s="107"/>
      <c r="B774" s="105"/>
      <c r="C774" s="106"/>
      <c r="D774" s="105"/>
      <c r="E774" s="105"/>
      <c r="F774" s="107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4.25" customHeight="1">
      <c r="A775" s="107"/>
      <c r="B775" s="105"/>
      <c r="C775" s="106"/>
      <c r="D775" s="105"/>
      <c r="E775" s="105"/>
      <c r="F775" s="107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4.25" customHeight="1">
      <c r="A776" s="107"/>
      <c r="B776" s="105"/>
      <c r="C776" s="106"/>
      <c r="D776" s="105"/>
      <c r="E776" s="105"/>
      <c r="F776" s="107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4.25" customHeight="1">
      <c r="A777" s="107"/>
      <c r="B777" s="105"/>
      <c r="C777" s="106"/>
      <c r="D777" s="105"/>
      <c r="E777" s="105"/>
      <c r="F777" s="107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4.25" customHeight="1">
      <c r="A778" s="107"/>
      <c r="B778" s="105"/>
      <c r="C778" s="106"/>
      <c r="D778" s="105"/>
      <c r="E778" s="105"/>
      <c r="F778" s="107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4.25" customHeight="1">
      <c r="A779" s="107"/>
      <c r="B779" s="105"/>
      <c r="C779" s="106"/>
      <c r="D779" s="105"/>
      <c r="E779" s="105"/>
      <c r="F779" s="107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4.25" customHeight="1">
      <c r="A780" s="107"/>
      <c r="B780" s="105"/>
      <c r="C780" s="106"/>
      <c r="D780" s="105"/>
      <c r="E780" s="105"/>
      <c r="F780" s="107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4.25" customHeight="1">
      <c r="A781" s="107"/>
      <c r="B781" s="105"/>
      <c r="C781" s="106"/>
      <c r="D781" s="105"/>
      <c r="E781" s="105"/>
      <c r="F781" s="107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4.25" customHeight="1">
      <c r="A782" s="107"/>
      <c r="B782" s="105"/>
      <c r="C782" s="106"/>
      <c r="D782" s="105"/>
      <c r="E782" s="105"/>
      <c r="F782" s="107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4.25" customHeight="1">
      <c r="A783" s="107"/>
      <c r="B783" s="105"/>
      <c r="C783" s="106"/>
      <c r="D783" s="105"/>
      <c r="E783" s="105"/>
      <c r="F783" s="107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4.25" customHeight="1">
      <c r="A784" s="107"/>
      <c r="B784" s="105"/>
      <c r="C784" s="106"/>
      <c r="D784" s="105"/>
      <c r="E784" s="105"/>
      <c r="F784" s="107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4.25" customHeight="1">
      <c r="A785" s="107"/>
      <c r="B785" s="105"/>
      <c r="C785" s="106"/>
      <c r="D785" s="105"/>
      <c r="E785" s="105"/>
      <c r="F785" s="107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4.25" customHeight="1">
      <c r="A786" s="107"/>
      <c r="B786" s="105"/>
      <c r="C786" s="106"/>
      <c r="D786" s="105"/>
      <c r="E786" s="105"/>
      <c r="F786" s="107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4.25" customHeight="1">
      <c r="A787" s="107"/>
      <c r="B787" s="105"/>
      <c r="C787" s="106"/>
      <c r="D787" s="105"/>
      <c r="E787" s="105"/>
      <c r="F787" s="107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4.25" customHeight="1">
      <c r="A788" s="107"/>
      <c r="B788" s="105"/>
      <c r="C788" s="106"/>
      <c r="D788" s="105"/>
      <c r="E788" s="105"/>
      <c r="F788" s="107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4.25" customHeight="1">
      <c r="A789" s="107"/>
      <c r="B789" s="105"/>
      <c r="C789" s="106"/>
      <c r="D789" s="105"/>
      <c r="E789" s="105"/>
      <c r="F789" s="107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4.25" customHeight="1">
      <c r="A790" s="107"/>
      <c r="B790" s="105"/>
      <c r="C790" s="106"/>
      <c r="D790" s="105"/>
      <c r="E790" s="105"/>
      <c r="F790" s="107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4.25" customHeight="1">
      <c r="A791" s="107"/>
      <c r="B791" s="105"/>
      <c r="C791" s="106"/>
      <c r="D791" s="105"/>
      <c r="E791" s="105"/>
      <c r="F791" s="107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4.25" customHeight="1">
      <c r="A792" s="107"/>
      <c r="B792" s="105"/>
      <c r="C792" s="106"/>
      <c r="D792" s="105"/>
      <c r="E792" s="105"/>
      <c r="F792" s="107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4.25" customHeight="1">
      <c r="A793" s="107"/>
      <c r="B793" s="105"/>
      <c r="C793" s="106"/>
      <c r="D793" s="105"/>
      <c r="E793" s="105"/>
      <c r="F793" s="107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4.25" customHeight="1">
      <c r="A794" s="107"/>
      <c r="B794" s="105"/>
      <c r="C794" s="106"/>
      <c r="D794" s="105"/>
      <c r="E794" s="105"/>
      <c r="F794" s="107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4.25" customHeight="1">
      <c r="A795" s="107"/>
      <c r="B795" s="105"/>
      <c r="C795" s="106"/>
      <c r="D795" s="105"/>
      <c r="E795" s="105"/>
      <c r="F795" s="107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4.25" customHeight="1">
      <c r="A796" s="107"/>
      <c r="B796" s="105"/>
      <c r="C796" s="106"/>
      <c r="D796" s="105"/>
      <c r="E796" s="105"/>
      <c r="F796" s="107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4.25" customHeight="1">
      <c r="A797" s="107"/>
      <c r="B797" s="105"/>
      <c r="C797" s="106"/>
      <c r="D797" s="105"/>
      <c r="E797" s="105"/>
      <c r="F797" s="107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4.25" customHeight="1">
      <c r="A798" s="107"/>
      <c r="B798" s="105"/>
      <c r="C798" s="106"/>
      <c r="D798" s="105"/>
      <c r="E798" s="105"/>
      <c r="F798" s="107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4.25" customHeight="1">
      <c r="A799" s="107"/>
      <c r="B799" s="105"/>
      <c r="C799" s="106"/>
      <c r="D799" s="105"/>
      <c r="E799" s="105"/>
      <c r="F799" s="107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4.25" customHeight="1">
      <c r="A800" s="107"/>
      <c r="B800" s="105"/>
      <c r="C800" s="106"/>
      <c r="D800" s="105"/>
      <c r="E800" s="105"/>
      <c r="F800" s="107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4.25" customHeight="1">
      <c r="A801" s="107"/>
      <c r="B801" s="105"/>
      <c r="C801" s="106"/>
      <c r="D801" s="105"/>
      <c r="E801" s="105"/>
      <c r="F801" s="107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4.25" customHeight="1">
      <c r="A802" s="107"/>
      <c r="B802" s="105"/>
      <c r="C802" s="106"/>
      <c r="D802" s="105"/>
      <c r="E802" s="105"/>
      <c r="F802" s="107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4.25" customHeight="1">
      <c r="A803" s="107"/>
      <c r="B803" s="105"/>
      <c r="C803" s="106"/>
      <c r="D803" s="105"/>
      <c r="E803" s="105"/>
      <c r="F803" s="107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4.25" customHeight="1">
      <c r="A804" s="107"/>
      <c r="B804" s="105"/>
      <c r="C804" s="106"/>
      <c r="D804" s="105"/>
      <c r="E804" s="105"/>
      <c r="F804" s="107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4.25" customHeight="1">
      <c r="A805" s="107"/>
      <c r="B805" s="105"/>
      <c r="C805" s="106"/>
      <c r="D805" s="105"/>
      <c r="E805" s="105"/>
      <c r="F805" s="107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4.25" customHeight="1">
      <c r="A806" s="107"/>
      <c r="B806" s="105"/>
      <c r="C806" s="106"/>
      <c r="D806" s="105"/>
      <c r="E806" s="105"/>
      <c r="F806" s="107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4.25" customHeight="1">
      <c r="A807" s="107"/>
      <c r="B807" s="105"/>
      <c r="C807" s="106"/>
      <c r="D807" s="105"/>
      <c r="E807" s="105"/>
      <c r="F807" s="107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4.25" customHeight="1">
      <c r="A808" s="107"/>
      <c r="B808" s="105"/>
      <c r="C808" s="106"/>
      <c r="D808" s="105"/>
      <c r="E808" s="105"/>
      <c r="F808" s="107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4.25" customHeight="1">
      <c r="A809" s="107"/>
      <c r="B809" s="105"/>
      <c r="C809" s="106"/>
      <c r="D809" s="105"/>
      <c r="E809" s="105"/>
      <c r="F809" s="107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4.25" customHeight="1">
      <c r="A810" s="107"/>
      <c r="B810" s="105"/>
      <c r="C810" s="106"/>
      <c r="D810" s="105"/>
      <c r="E810" s="105"/>
      <c r="F810" s="107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4.25" customHeight="1">
      <c r="A811" s="107"/>
      <c r="B811" s="105"/>
      <c r="C811" s="106"/>
      <c r="D811" s="105"/>
      <c r="E811" s="105"/>
      <c r="F811" s="107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4.25" customHeight="1">
      <c r="A812" s="107"/>
      <c r="B812" s="105"/>
      <c r="C812" s="106"/>
      <c r="D812" s="105"/>
      <c r="E812" s="105"/>
      <c r="F812" s="107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4.25" customHeight="1">
      <c r="A813" s="107"/>
      <c r="B813" s="105"/>
      <c r="C813" s="106"/>
      <c r="D813" s="105"/>
      <c r="E813" s="105"/>
      <c r="F813" s="107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4.25" customHeight="1">
      <c r="A814" s="107"/>
      <c r="B814" s="105"/>
      <c r="C814" s="106"/>
      <c r="D814" s="105"/>
      <c r="E814" s="105"/>
      <c r="F814" s="107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4.25" customHeight="1">
      <c r="A815" s="107"/>
      <c r="B815" s="105"/>
      <c r="C815" s="106"/>
      <c r="D815" s="105"/>
      <c r="E815" s="105"/>
      <c r="F815" s="107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4.25" customHeight="1">
      <c r="A816" s="107"/>
      <c r="B816" s="105"/>
      <c r="C816" s="106"/>
      <c r="D816" s="105"/>
      <c r="E816" s="105"/>
      <c r="F816" s="107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4.25" customHeight="1">
      <c r="A817" s="107"/>
      <c r="B817" s="105"/>
      <c r="C817" s="106"/>
      <c r="D817" s="105"/>
      <c r="E817" s="105"/>
      <c r="F817" s="107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4.25" customHeight="1">
      <c r="A818" s="107"/>
      <c r="B818" s="105"/>
      <c r="C818" s="106"/>
      <c r="D818" s="105"/>
      <c r="E818" s="105"/>
      <c r="F818" s="107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4.25" customHeight="1">
      <c r="A819" s="107"/>
      <c r="B819" s="105"/>
      <c r="C819" s="106"/>
      <c r="D819" s="105"/>
      <c r="E819" s="105"/>
      <c r="F819" s="107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4.25" customHeight="1">
      <c r="A820" s="107"/>
      <c r="B820" s="105"/>
      <c r="C820" s="106"/>
      <c r="D820" s="105"/>
      <c r="E820" s="105"/>
      <c r="F820" s="107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4.25" customHeight="1">
      <c r="A821" s="107"/>
      <c r="B821" s="105"/>
      <c r="C821" s="106"/>
      <c r="D821" s="105"/>
      <c r="E821" s="105"/>
      <c r="F821" s="107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4.25" customHeight="1">
      <c r="A822" s="107"/>
      <c r="B822" s="105"/>
      <c r="C822" s="106"/>
      <c r="D822" s="105"/>
      <c r="E822" s="105"/>
      <c r="F822" s="107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4.25" customHeight="1">
      <c r="A823" s="107"/>
      <c r="B823" s="105"/>
      <c r="C823" s="106"/>
      <c r="D823" s="105"/>
      <c r="E823" s="105"/>
      <c r="F823" s="107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4.25" customHeight="1">
      <c r="A824" s="107"/>
      <c r="B824" s="105"/>
      <c r="C824" s="106"/>
      <c r="D824" s="105"/>
      <c r="E824" s="105"/>
      <c r="F824" s="107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4.25" customHeight="1">
      <c r="A825" s="107"/>
      <c r="B825" s="105"/>
      <c r="C825" s="106"/>
      <c r="D825" s="105"/>
      <c r="E825" s="105"/>
      <c r="F825" s="107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4.25" customHeight="1">
      <c r="A826" s="107"/>
      <c r="B826" s="105"/>
      <c r="C826" s="106"/>
      <c r="D826" s="105"/>
      <c r="E826" s="105"/>
      <c r="F826" s="107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4.25" customHeight="1">
      <c r="A827" s="107"/>
      <c r="B827" s="105"/>
      <c r="C827" s="106"/>
      <c r="D827" s="105"/>
      <c r="E827" s="105"/>
      <c r="F827" s="107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4.25" customHeight="1">
      <c r="A828" s="107"/>
      <c r="B828" s="105"/>
      <c r="C828" s="106"/>
      <c r="D828" s="105"/>
      <c r="E828" s="105"/>
      <c r="F828" s="107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4.25" customHeight="1">
      <c r="A829" s="107"/>
      <c r="B829" s="105"/>
      <c r="C829" s="106"/>
      <c r="D829" s="105"/>
      <c r="E829" s="105"/>
      <c r="F829" s="107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4.25" customHeight="1">
      <c r="A830" s="107"/>
      <c r="B830" s="105"/>
      <c r="C830" s="106"/>
      <c r="D830" s="105"/>
      <c r="E830" s="105"/>
      <c r="F830" s="107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4.25" customHeight="1">
      <c r="A831" s="107"/>
      <c r="B831" s="105"/>
      <c r="C831" s="106"/>
      <c r="D831" s="105"/>
      <c r="E831" s="105"/>
      <c r="F831" s="107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4.25" customHeight="1">
      <c r="A832" s="107"/>
      <c r="B832" s="105"/>
      <c r="C832" s="106"/>
      <c r="D832" s="105"/>
      <c r="E832" s="105"/>
      <c r="F832" s="107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4.25" customHeight="1">
      <c r="A833" s="107"/>
      <c r="B833" s="105"/>
      <c r="C833" s="106"/>
      <c r="D833" s="105"/>
      <c r="E833" s="105"/>
      <c r="F833" s="107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4.25" customHeight="1">
      <c r="A834" s="107"/>
      <c r="B834" s="105"/>
      <c r="C834" s="106"/>
      <c r="D834" s="105"/>
      <c r="E834" s="105"/>
      <c r="F834" s="107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4.25" customHeight="1">
      <c r="A835" s="107"/>
      <c r="B835" s="105"/>
      <c r="C835" s="106"/>
      <c r="D835" s="105"/>
      <c r="E835" s="105"/>
      <c r="F835" s="107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4.25" customHeight="1">
      <c r="A836" s="107"/>
      <c r="B836" s="105"/>
      <c r="C836" s="106"/>
      <c r="D836" s="105"/>
      <c r="E836" s="105"/>
      <c r="F836" s="107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4.25" customHeight="1">
      <c r="A837" s="107"/>
      <c r="B837" s="105"/>
      <c r="C837" s="106"/>
      <c r="D837" s="105"/>
      <c r="E837" s="105"/>
      <c r="F837" s="107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4.25" customHeight="1">
      <c r="A838" s="107"/>
      <c r="B838" s="105"/>
      <c r="C838" s="106"/>
      <c r="D838" s="105"/>
      <c r="E838" s="105"/>
      <c r="F838" s="107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4.25" customHeight="1">
      <c r="A839" s="107"/>
      <c r="B839" s="105"/>
      <c r="C839" s="106"/>
      <c r="D839" s="105"/>
      <c r="E839" s="105"/>
      <c r="F839" s="107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4.25" customHeight="1">
      <c r="A840" s="107"/>
      <c r="B840" s="105"/>
      <c r="C840" s="106"/>
      <c r="D840" s="105"/>
      <c r="E840" s="105"/>
      <c r="F840" s="107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4.25" customHeight="1">
      <c r="A841" s="107"/>
      <c r="B841" s="105"/>
      <c r="C841" s="106"/>
      <c r="D841" s="105"/>
      <c r="E841" s="105"/>
      <c r="F841" s="107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4.25" customHeight="1">
      <c r="A842" s="107"/>
      <c r="B842" s="105"/>
      <c r="C842" s="106"/>
      <c r="D842" s="105"/>
      <c r="E842" s="105"/>
      <c r="F842" s="107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4.25" customHeight="1">
      <c r="A843" s="107"/>
      <c r="B843" s="105"/>
      <c r="C843" s="106"/>
      <c r="D843" s="105"/>
      <c r="E843" s="105"/>
      <c r="F843" s="107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4.25" customHeight="1">
      <c r="A844" s="107"/>
      <c r="B844" s="105"/>
      <c r="C844" s="106"/>
      <c r="D844" s="105"/>
      <c r="E844" s="105"/>
      <c r="F844" s="107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4.25" customHeight="1">
      <c r="A845" s="107"/>
      <c r="B845" s="105"/>
      <c r="C845" s="106"/>
      <c r="D845" s="105"/>
      <c r="E845" s="105"/>
      <c r="F845" s="107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4.25" customHeight="1">
      <c r="A846" s="107"/>
      <c r="B846" s="105"/>
      <c r="C846" s="106"/>
      <c r="D846" s="105"/>
      <c r="E846" s="105"/>
      <c r="F846" s="107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4.25" customHeight="1">
      <c r="A847" s="107"/>
      <c r="B847" s="105"/>
      <c r="C847" s="106"/>
      <c r="D847" s="105"/>
      <c r="E847" s="105"/>
      <c r="F847" s="107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4.25" customHeight="1">
      <c r="A848" s="107"/>
      <c r="B848" s="105"/>
      <c r="C848" s="106"/>
      <c r="D848" s="105"/>
      <c r="E848" s="105"/>
      <c r="F848" s="107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4.25" customHeight="1">
      <c r="A849" s="107"/>
      <c r="B849" s="105"/>
      <c r="C849" s="106"/>
      <c r="D849" s="105"/>
      <c r="E849" s="105"/>
      <c r="F849" s="107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4.25" customHeight="1">
      <c r="A850" s="107"/>
      <c r="B850" s="105"/>
      <c r="C850" s="106"/>
      <c r="D850" s="105"/>
      <c r="E850" s="105"/>
      <c r="F850" s="107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4.25" customHeight="1">
      <c r="A851" s="107"/>
      <c r="B851" s="105"/>
      <c r="C851" s="106"/>
      <c r="D851" s="105"/>
      <c r="E851" s="105"/>
      <c r="F851" s="107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4.25" customHeight="1">
      <c r="A852" s="107"/>
      <c r="B852" s="105"/>
      <c r="C852" s="106"/>
      <c r="D852" s="105"/>
      <c r="E852" s="105"/>
      <c r="F852" s="107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4.25" customHeight="1">
      <c r="A853" s="107"/>
      <c r="B853" s="105"/>
      <c r="C853" s="106"/>
      <c r="D853" s="105"/>
      <c r="E853" s="105"/>
      <c r="F853" s="107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4.25" customHeight="1">
      <c r="A854" s="107"/>
      <c r="B854" s="105"/>
      <c r="C854" s="106"/>
      <c r="D854" s="105"/>
      <c r="E854" s="105"/>
      <c r="F854" s="107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4.25" customHeight="1">
      <c r="A855" s="107"/>
      <c r="B855" s="105"/>
      <c r="C855" s="106"/>
      <c r="D855" s="105"/>
      <c r="E855" s="105"/>
      <c r="F855" s="107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4.25" customHeight="1">
      <c r="A856" s="107"/>
      <c r="B856" s="105"/>
      <c r="C856" s="106"/>
      <c r="D856" s="105"/>
      <c r="E856" s="105"/>
      <c r="F856" s="107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4.25" customHeight="1">
      <c r="A857" s="107"/>
      <c r="B857" s="105"/>
      <c r="C857" s="106"/>
      <c r="D857" s="105"/>
      <c r="E857" s="105"/>
      <c r="F857" s="107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4.25" customHeight="1">
      <c r="A858" s="107"/>
      <c r="B858" s="105"/>
      <c r="C858" s="106"/>
      <c r="D858" s="105"/>
      <c r="E858" s="105"/>
      <c r="F858" s="107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4.25" customHeight="1">
      <c r="A859" s="107"/>
      <c r="B859" s="105"/>
      <c r="C859" s="106"/>
      <c r="D859" s="105"/>
      <c r="E859" s="105"/>
      <c r="F859" s="107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4.25" customHeight="1">
      <c r="A860" s="107"/>
      <c r="B860" s="105"/>
      <c r="C860" s="106"/>
      <c r="D860" s="105"/>
      <c r="E860" s="105"/>
      <c r="F860" s="107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4.25" customHeight="1">
      <c r="A861" s="107"/>
      <c r="B861" s="105"/>
      <c r="C861" s="106"/>
      <c r="D861" s="105"/>
      <c r="E861" s="105"/>
      <c r="F861" s="107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4.25" customHeight="1">
      <c r="A862" s="107"/>
      <c r="B862" s="105"/>
      <c r="C862" s="106"/>
      <c r="D862" s="105"/>
      <c r="E862" s="105"/>
      <c r="F862" s="107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4.25" customHeight="1">
      <c r="A863" s="107"/>
      <c r="B863" s="105"/>
      <c r="C863" s="106"/>
      <c r="D863" s="105"/>
      <c r="E863" s="105"/>
      <c r="F863" s="107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4.25" customHeight="1">
      <c r="A864" s="107"/>
      <c r="B864" s="105"/>
      <c r="C864" s="106"/>
      <c r="D864" s="105"/>
      <c r="E864" s="105"/>
      <c r="F864" s="107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4.25" customHeight="1">
      <c r="A865" s="107"/>
      <c r="B865" s="105"/>
      <c r="C865" s="106"/>
      <c r="D865" s="105"/>
      <c r="E865" s="105"/>
      <c r="F865" s="107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4.25" customHeight="1">
      <c r="A866" s="107"/>
      <c r="B866" s="105"/>
      <c r="C866" s="106"/>
      <c r="D866" s="105"/>
      <c r="E866" s="105"/>
      <c r="F866" s="107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4.25" customHeight="1">
      <c r="A867" s="107"/>
      <c r="B867" s="105"/>
      <c r="C867" s="106"/>
      <c r="D867" s="105"/>
      <c r="E867" s="105"/>
      <c r="F867" s="107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4.25" customHeight="1">
      <c r="A868" s="107"/>
      <c r="B868" s="105"/>
      <c r="C868" s="106"/>
      <c r="D868" s="105"/>
      <c r="E868" s="105"/>
      <c r="F868" s="107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4.25" customHeight="1">
      <c r="A869" s="107"/>
      <c r="B869" s="105"/>
      <c r="C869" s="106"/>
      <c r="D869" s="105"/>
      <c r="E869" s="105"/>
      <c r="F869" s="107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4.25" customHeight="1">
      <c r="A870" s="107"/>
      <c r="B870" s="105"/>
      <c r="C870" s="106"/>
      <c r="D870" s="105"/>
      <c r="E870" s="105"/>
      <c r="F870" s="107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4.25" customHeight="1">
      <c r="A871" s="107"/>
      <c r="B871" s="105"/>
      <c r="C871" s="106"/>
      <c r="D871" s="105"/>
      <c r="E871" s="105"/>
      <c r="F871" s="107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4.25" customHeight="1">
      <c r="A872" s="107"/>
      <c r="B872" s="105"/>
      <c r="C872" s="106"/>
      <c r="D872" s="105"/>
      <c r="E872" s="105"/>
      <c r="F872" s="107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4.25" customHeight="1">
      <c r="A873" s="107"/>
      <c r="B873" s="105"/>
      <c r="C873" s="106"/>
      <c r="D873" s="105"/>
      <c r="E873" s="105"/>
      <c r="F873" s="107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4.25" customHeight="1">
      <c r="A874" s="107"/>
      <c r="B874" s="105"/>
      <c r="C874" s="106"/>
      <c r="D874" s="105"/>
      <c r="E874" s="105"/>
      <c r="F874" s="107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4.25" customHeight="1">
      <c r="A875" s="107"/>
      <c r="B875" s="105"/>
      <c r="C875" s="106"/>
      <c r="D875" s="105"/>
      <c r="E875" s="105"/>
      <c r="F875" s="107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4.25" customHeight="1">
      <c r="A876" s="107"/>
      <c r="B876" s="105"/>
      <c r="C876" s="106"/>
      <c r="D876" s="105"/>
      <c r="E876" s="105"/>
      <c r="F876" s="107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4.25" customHeight="1">
      <c r="A877" s="107"/>
      <c r="B877" s="105"/>
      <c r="C877" s="106"/>
      <c r="D877" s="105"/>
      <c r="E877" s="105"/>
      <c r="F877" s="107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4.25" customHeight="1">
      <c r="A878" s="107"/>
      <c r="B878" s="105"/>
      <c r="C878" s="106"/>
      <c r="D878" s="105"/>
      <c r="E878" s="105"/>
      <c r="F878" s="107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4.25" customHeight="1">
      <c r="A879" s="107"/>
      <c r="B879" s="105"/>
      <c r="C879" s="106"/>
      <c r="D879" s="105"/>
      <c r="E879" s="105"/>
      <c r="F879" s="107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4.25" customHeight="1">
      <c r="A880" s="107"/>
      <c r="B880" s="105"/>
      <c r="C880" s="106"/>
      <c r="D880" s="105"/>
      <c r="E880" s="105"/>
      <c r="F880" s="107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4.25" customHeight="1">
      <c r="A881" s="107"/>
      <c r="B881" s="105"/>
      <c r="C881" s="106"/>
      <c r="D881" s="105"/>
      <c r="E881" s="105"/>
      <c r="F881" s="107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4.25" customHeight="1">
      <c r="A882" s="107"/>
      <c r="B882" s="105"/>
      <c r="C882" s="106"/>
      <c r="D882" s="105"/>
      <c r="E882" s="105"/>
      <c r="F882" s="107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4.25" customHeight="1">
      <c r="A883" s="107"/>
      <c r="B883" s="105"/>
      <c r="C883" s="106"/>
      <c r="D883" s="105"/>
      <c r="E883" s="105"/>
      <c r="F883" s="107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4.25" customHeight="1">
      <c r="A884" s="107"/>
      <c r="B884" s="105"/>
      <c r="C884" s="106"/>
      <c r="D884" s="105"/>
      <c r="E884" s="105"/>
      <c r="F884" s="107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4.25" customHeight="1">
      <c r="A885" s="107"/>
      <c r="B885" s="105"/>
      <c r="C885" s="106"/>
      <c r="D885" s="105"/>
      <c r="E885" s="105"/>
      <c r="F885" s="107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4.25" customHeight="1">
      <c r="A886" s="107"/>
      <c r="B886" s="105"/>
      <c r="C886" s="106"/>
      <c r="D886" s="105"/>
      <c r="E886" s="105"/>
      <c r="F886" s="107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4.25" customHeight="1">
      <c r="A887" s="107"/>
      <c r="B887" s="105"/>
      <c r="C887" s="106"/>
      <c r="D887" s="105"/>
      <c r="E887" s="105"/>
      <c r="F887" s="107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4.25" customHeight="1">
      <c r="A888" s="107"/>
      <c r="B888" s="105"/>
      <c r="C888" s="106"/>
      <c r="D888" s="105"/>
      <c r="E888" s="105"/>
      <c r="F888" s="107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4.25" customHeight="1">
      <c r="A889" s="107"/>
      <c r="B889" s="105"/>
      <c r="C889" s="106"/>
      <c r="D889" s="105"/>
      <c r="E889" s="105"/>
      <c r="F889" s="107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4.25" customHeight="1">
      <c r="A890" s="107"/>
      <c r="B890" s="105"/>
      <c r="C890" s="106"/>
      <c r="D890" s="105"/>
      <c r="E890" s="105"/>
      <c r="F890" s="107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4.25" customHeight="1">
      <c r="A891" s="107"/>
      <c r="B891" s="105"/>
      <c r="C891" s="106"/>
      <c r="D891" s="105"/>
      <c r="E891" s="105"/>
      <c r="F891" s="107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4.25" customHeight="1">
      <c r="A892" s="107"/>
      <c r="B892" s="105"/>
      <c r="C892" s="106"/>
      <c r="D892" s="105"/>
      <c r="E892" s="105"/>
      <c r="F892" s="107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4.25" customHeight="1">
      <c r="A893" s="107"/>
      <c r="B893" s="105"/>
      <c r="C893" s="106"/>
      <c r="D893" s="105"/>
      <c r="E893" s="105"/>
      <c r="F893" s="107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4.25" customHeight="1">
      <c r="A894" s="107"/>
      <c r="B894" s="105"/>
      <c r="C894" s="106"/>
      <c r="D894" s="105"/>
      <c r="E894" s="105"/>
      <c r="F894" s="107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4.25" customHeight="1">
      <c r="A895" s="107"/>
      <c r="B895" s="105"/>
      <c r="C895" s="106"/>
      <c r="D895" s="105"/>
      <c r="E895" s="105"/>
      <c r="F895" s="107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4.25" customHeight="1">
      <c r="A896" s="107"/>
      <c r="B896" s="105"/>
      <c r="C896" s="106"/>
      <c r="D896" s="105"/>
      <c r="E896" s="105"/>
      <c r="F896" s="107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4.25" customHeight="1">
      <c r="A897" s="107"/>
      <c r="B897" s="105"/>
      <c r="C897" s="106"/>
      <c r="D897" s="105"/>
      <c r="E897" s="105"/>
      <c r="F897" s="107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4.25" customHeight="1">
      <c r="A898" s="107"/>
      <c r="B898" s="105"/>
      <c r="C898" s="106"/>
      <c r="D898" s="105"/>
      <c r="E898" s="105"/>
      <c r="F898" s="107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4.25" customHeight="1">
      <c r="A899" s="107"/>
      <c r="B899" s="105"/>
      <c r="C899" s="106"/>
      <c r="D899" s="105"/>
      <c r="E899" s="105"/>
      <c r="F899" s="107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4.25" customHeight="1">
      <c r="A900" s="107"/>
      <c r="B900" s="105"/>
      <c r="C900" s="106"/>
      <c r="D900" s="105"/>
      <c r="E900" s="105"/>
      <c r="F900" s="107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4.25" customHeight="1">
      <c r="A901" s="107"/>
      <c r="B901" s="105"/>
      <c r="C901" s="106"/>
      <c r="D901" s="105"/>
      <c r="E901" s="105"/>
      <c r="F901" s="107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4.25" customHeight="1">
      <c r="A902" s="107"/>
      <c r="B902" s="105"/>
      <c r="C902" s="106"/>
      <c r="D902" s="105"/>
      <c r="E902" s="105"/>
      <c r="F902" s="107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4.25" customHeight="1">
      <c r="A903" s="107"/>
      <c r="B903" s="105"/>
      <c r="C903" s="106"/>
      <c r="D903" s="105"/>
      <c r="E903" s="105"/>
      <c r="F903" s="107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4.25" customHeight="1">
      <c r="A904" s="107"/>
      <c r="B904" s="105"/>
      <c r="C904" s="106"/>
      <c r="D904" s="105"/>
      <c r="E904" s="105"/>
      <c r="F904" s="107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4.25" customHeight="1">
      <c r="A905" s="107"/>
      <c r="B905" s="105"/>
      <c r="C905" s="106"/>
      <c r="D905" s="105"/>
      <c r="E905" s="105"/>
      <c r="F905" s="107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4.25" customHeight="1">
      <c r="A906" s="107"/>
      <c r="B906" s="105"/>
      <c r="C906" s="106"/>
      <c r="D906" s="105"/>
      <c r="E906" s="105"/>
      <c r="F906" s="107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4.25" customHeight="1">
      <c r="A907" s="107"/>
      <c r="B907" s="105"/>
      <c r="C907" s="106"/>
      <c r="D907" s="105"/>
      <c r="E907" s="105"/>
      <c r="F907" s="107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4.25" customHeight="1">
      <c r="A908" s="107"/>
      <c r="B908" s="105"/>
      <c r="C908" s="106"/>
      <c r="D908" s="105"/>
      <c r="E908" s="105"/>
      <c r="F908" s="107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4.25" customHeight="1">
      <c r="A909" s="107"/>
      <c r="B909" s="105"/>
      <c r="C909" s="106"/>
      <c r="D909" s="105"/>
      <c r="E909" s="105"/>
      <c r="F909" s="107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4.25" customHeight="1">
      <c r="A910" s="107"/>
      <c r="B910" s="105"/>
      <c r="C910" s="106"/>
      <c r="D910" s="105"/>
      <c r="E910" s="105"/>
      <c r="F910" s="107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4.25" customHeight="1">
      <c r="A911" s="107"/>
      <c r="B911" s="105"/>
      <c r="C911" s="106"/>
      <c r="D911" s="105"/>
      <c r="E911" s="105"/>
      <c r="F911" s="107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4.25" customHeight="1">
      <c r="A912" s="107"/>
      <c r="B912" s="105"/>
      <c r="C912" s="106"/>
      <c r="D912" s="105"/>
      <c r="E912" s="105"/>
      <c r="F912" s="107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4.25" customHeight="1">
      <c r="A913" s="107"/>
      <c r="B913" s="105"/>
      <c r="C913" s="106"/>
      <c r="D913" s="105"/>
      <c r="E913" s="105"/>
      <c r="F913" s="107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4.25" customHeight="1">
      <c r="A914" s="107"/>
      <c r="B914" s="105"/>
      <c r="C914" s="106"/>
      <c r="D914" s="105"/>
      <c r="E914" s="105"/>
      <c r="F914" s="107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4.25" customHeight="1">
      <c r="A915" s="107"/>
      <c r="B915" s="105"/>
      <c r="C915" s="106"/>
      <c r="D915" s="105"/>
      <c r="E915" s="105"/>
      <c r="F915" s="107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4.25" customHeight="1">
      <c r="A916" s="107"/>
      <c r="B916" s="105"/>
      <c r="C916" s="106"/>
      <c r="D916" s="105"/>
      <c r="E916" s="105"/>
      <c r="F916" s="107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4.25" customHeight="1">
      <c r="A917" s="107"/>
      <c r="B917" s="105"/>
      <c r="C917" s="106"/>
      <c r="D917" s="105"/>
      <c r="E917" s="105"/>
      <c r="F917" s="107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4.25" customHeight="1">
      <c r="A918" s="107"/>
      <c r="B918" s="105"/>
      <c r="C918" s="106"/>
      <c r="D918" s="105"/>
      <c r="E918" s="105"/>
      <c r="F918" s="107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4.25" customHeight="1">
      <c r="A919" s="107"/>
      <c r="B919" s="105"/>
      <c r="C919" s="106"/>
      <c r="D919" s="105"/>
      <c r="E919" s="105"/>
      <c r="F919" s="107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4.25" customHeight="1">
      <c r="A920" s="107"/>
      <c r="B920" s="105"/>
      <c r="C920" s="106"/>
      <c r="D920" s="105"/>
      <c r="E920" s="105"/>
      <c r="F920" s="107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4.25" customHeight="1">
      <c r="A921" s="107"/>
      <c r="B921" s="105"/>
      <c r="C921" s="106"/>
      <c r="D921" s="105"/>
      <c r="E921" s="105"/>
      <c r="F921" s="107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4.25" customHeight="1">
      <c r="A922" s="107"/>
      <c r="B922" s="105"/>
      <c r="C922" s="106"/>
      <c r="D922" s="105"/>
      <c r="E922" s="105"/>
      <c r="F922" s="107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4.25" customHeight="1">
      <c r="A923" s="107"/>
      <c r="B923" s="105"/>
      <c r="C923" s="106"/>
      <c r="D923" s="105"/>
      <c r="E923" s="105"/>
      <c r="F923" s="107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4.25" customHeight="1">
      <c r="A924" s="107"/>
      <c r="B924" s="105"/>
      <c r="C924" s="106"/>
      <c r="D924" s="105"/>
      <c r="E924" s="105"/>
      <c r="F924" s="107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4.25" customHeight="1">
      <c r="A925" s="107"/>
      <c r="B925" s="105"/>
      <c r="C925" s="106"/>
      <c r="D925" s="105"/>
      <c r="E925" s="105"/>
      <c r="F925" s="107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4.25" customHeight="1">
      <c r="A926" s="107"/>
      <c r="B926" s="105"/>
      <c r="C926" s="106"/>
      <c r="D926" s="105"/>
      <c r="E926" s="105"/>
      <c r="F926" s="107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4.25" customHeight="1">
      <c r="A927" s="107"/>
      <c r="B927" s="105"/>
      <c r="C927" s="106"/>
      <c r="D927" s="105"/>
      <c r="E927" s="105"/>
      <c r="F927" s="107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4.25" customHeight="1">
      <c r="A928" s="107"/>
      <c r="B928" s="105"/>
      <c r="C928" s="106"/>
      <c r="D928" s="105"/>
      <c r="E928" s="105"/>
      <c r="F928" s="107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4.25" customHeight="1">
      <c r="A929" s="107"/>
      <c r="B929" s="105"/>
      <c r="C929" s="106"/>
      <c r="D929" s="105"/>
      <c r="E929" s="105"/>
      <c r="F929" s="107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4.25" customHeight="1">
      <c r="A930" s="107"/>
      <c r="B930" s="105"/>
      <c r="C930" s="106"/>
      <c r="D930" s="105"/>
      <c r="E930" s="105"/>
      <c r="F930" s="107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4.25" customHeight="1">
      <c r="A931" s="107"/>
      <c r="B931" s="105"/>
      <c r="C931" s="106"/>
      <c r="D931" s="105"/>
      <c r="E931" s="105"/>
      <c r="F931" s="107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4.25" customHeight="1">
      <c r="A932" s="107"/>
      <c r="B932" s="105"/>
      <c r="C932" s="106"/>
      <c r="D932" s="105"/>
      <c r="E932" s="105"/>
      <c r="F932" s="107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4.25" customHeight="1">
      <c r="A933" s="107"/>
      <c r="B933" s="105"/>
      <c r="C933" s="106"/>
      <c r="D933" s="105"/>
      <c r="E933" s="105"/>
      <c r="F933" s="107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4.25" customHeight="1">
      <c r="A934" s="107"/>
      <c r="B934" s="105"/>
      <c r="C934" s="106"/>
      <c r="D934" s="105"/>
      <c r="E934" s="105"/>
      <c r="F934" s="107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4.25" customHeight="1">
      <c r="A935" s="107"/>
      <c r="B935" s="105"/>
      <c r="C935" s="106"/>
      <c r="D935" s="105"/>
      <c r="E935" s="105"/>
      <c r="F935" s="107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4.25" customHeight="1">
      <c r="A936" s="107"/>
      <c r="B936" s="105"/>
      <c r="C936" s="106"/>
      <c r="D936" s="105"/>
      <c r="E936" s="105"/>
      <c r="F936" s="107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4.25" customHeight="1">
      <c r="A937" s="107"/>
      <c r="B937" s="105"/>
      <c r="C937" s="106"/>
      <c r="D937" s="105"/>
      <c r="E937" s="105"/>
      <c r="F937" s="107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4.25" customHeight="1">
      <c r="A938" s="107"/>
      <c r="B938" s="105"/>
      <c r="C938" s="106"/>
      <c r="D938" s="105"/>
      <c r="E938" s="105"/>
      <c r="F938" s="107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4.25" customHeight="1">
      <c r="A939" s="107"/>
      <c r="B939" s="105"/>
      <c r="C939" s="106"/>
      <c r="D939" s="105"/>
      <c r="E939" s="105"/>
      <c r="F939" s="107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4.25" customHeight="1">
      <c r="A940" s="107"/>
      <c r="B940" s="105"/>
      <c r="C940" s="106"/>
      <c r="D940" s="105"/>
      <c r="E940" s="105"/>
      <c r="F940" s="107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4.25" customHeight="1">
      <c r="A941" s="107"/>
      <c r="B941" s="105"/>
      <c r="C941" s="106"/>
      <c r="D941" s="105"/>
      <c r="E941" s="105"/>
      <c r="F941" s="107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4.25" customHeight="1">
      <c r="A942" s="107"/>
      <c r="B942" s="105"/>
      <c r="C942" s="106"/>
      <c r="D942" s="105"/>
      <c r="E942" s="105"/>
      <c r="F942" s="107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4.25" customHeight="1">
      <c r="A943" s="107"/>
      <c r="B943" s="105"/>
      <c r="C943" s="106"/>
      <c r="D943" s="105"/>
      <c r="E943" s="105"/>
      <c r="F943" s="107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4.25" customHeight="1">
      <c r="A944" s="107"/>
      <c r="B944" s="105"/>
      <c r="C944" s="106"/>
      <c r="D944" s="105"/>
      <c r="E944" s="105"/>
      <c r="F944" s="107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4.25" customHeight="1">
      <c r="A945" s="107"/>
      <c r="B945" s="105"/>
      <c r="C945" s="106"/>
      <c r="D945" s="105"/>
      <c r="E945" s="105"/>
      <c r="F945" s="107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4.25" customHeight="1">
      <c r="A946" s="107"/>
      <c r="B946" s="105"/>
      <c r="C946" s="106"/>
      <c r="D946" s="105"/>
      <c r="E946" s="105"/>
      <c r="F946" s="107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4.25" customHeight="1">
      <c r="A947" s="107"/>
      <c r="B947" s="105"/>
      <c r="C947" s="106"/>
      <c r="D947" s="105"/>
      <c r="E947" s="105"/>
      <c r="F947" s="107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4.25" customHeight="1">
      <c r="A948" s="107"/>
      <c r="B948" s="105"/>
      <c r="C948" s="106"/>
      <c r="D948" s="105"/>
      <c r="E948" s="105"/>
      <c r="F948" s="107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4.25" customHeight="1">
      <c r="A949" s="107"/>
      <c r="B949" s="105"/>
      <c r="C949" s="106"/>
      <c r="D949" s="105"/>
      <c r="E949" s="105"/>
      <c r="F949" s="107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4.25" customHeight="1">
      <c r="A950" s="107"/>
      <c r="B950" s="105"/>
      <c r="C950" s="106"/>
      <c r="D950" s="105"/>
      <c r="E950" s="105"/>
      <c r="F950" s="107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4.25" customHeight="1">
      <c r="A951" s="107"/>
      <c r="B951" s="105"/>
      <c r="C951" s="106"/>
      <c r="D951" s="105"/>
      <c r="E951" s="105"/>
      <c r="F951" s="107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4.25" customHeight="1">
      <c r="A952" s="107"/>
      <c r="B952" s="105"/>
      <c r="C952" s="106"/>
      <c r="D952" s="105"/>
      <c r="E952" s="105"/>
      <c r="F952" s="107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4.25" customHeight="1">
      <c r="A953" s="107"/>
      <c r="B953" s="105"/>
      <c r="C953" s="106"/>
      <c r="D953" s="105"/>
      <c r="E953" s="105"/>
      <c r="F953" s="107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4.25" customHeight="1">
      <c r="A954" s="107"/>
      <c r="B954" s="105"/>
      <c r="C954" s="106"/>
      <c r="D954" s="105"/>
      <c r="E954" s="105"/>
      <c r="F954" s="107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4.25" customHeight="1">
      <c r="A955" s="107"/>
      <c r="B955" s="105"/>
      <c r="C955" s="106"/>
      <c r="D955" s="105"/>
      <c r="E955" s="105"/>
      <c r="F955" s="107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4.25" customHeight="1">
      <c r="A956" s="107"/>
      <c r="B956" s="105"/>
      <c r="C956" s="106"/>
      <c r="D956" s="105"/>
      <c r="E956" s="105"/>
      <c r="F956" s="107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4.25" customHeight="1">
      <c r="A957" s="107"/>
      <c r="B957" s="105"/>
      <c r="C957" s="106"/>
      <c r="D957" s="105"/>
      <c r="E957" s="105"/>
      <c r="F957" s="107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4.25" customHeight="1">
      <c r="A958" s="107"/>
      <c r="B958" s="105"/>
      <c r="C958" s="106"/>
      <c r="D958" s="105"/>
      <c r="E958" s="105"/>
      <c r="F958" s="107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4.25" customHeight="1">
      <c r="A959" s="107"/>
      <c r="B959" s="105"/>
      <c r="C959" s="106"/>
      <c r="D959" s="105"/>
      <c r="E959" s="105"/>
      <c r="F959" s="107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4.25" customHeight="1">
      <c r="A960" s="107"/>
      <c r="B960" s="105"/>
      <c r="C960" s="106"/>
      <c r="D960" s="105"/>
      <c r="E960" s="105"/>
      <c r="F960" s="107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4.25" customHeight="1">
      <c r="A961" s="107"/>
      <c r="B961" s="105"/>
      <c r="C961" s="106"/>
      <c r="D961" s="105"/>
      <c r="E961" s="105"/>
      <c r="F961" s="107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4.25" customHeight="1">
      <c r="A962" s="107"/>
      <c r="B962" s="105"/>
      <c r="C962" s="106"/>
      <c r="D962" s="105"/>
      <c r="E962" s="105"/>
      <c r="F962" s="107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4.25" customHeight="1">
      <c r="A963" s="107"/>
      <c r="B963" s="105"/>
      <c r="C963" s="106"/>
      <c r="D963" s="105"/>
      <c r="E963" s="105"/>
      <c r="F963" s="107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4.25" customHeight="1">
      <c r="A964" s="107"/>
      <c r="B964" s="105"/>
      <c r="C964" s="106"/>
      <c r="D964" s="105"/>
      <c r="E964" s="105"/>
      <c r="F964" s="107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4.25" customHeight="1">
      <c r="A965" s="107"/>
      <c r="B965" s="105"/>
      <c r="C965" s="106"/>
      <c r="D965" s="105"/>
      <c r="E965" s="105"/>
      <c r="F965" s="107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4.25" customHeight="1">
      <c r="A966" s="107"/>
      <c r="B966" s="105"/>
      <c r="C966" s="106"/>
      <c r="D966" s="105"/>
      <c r="E966" s="105"/>
      <c r="F966" s="107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4.25" customHeight="1">
      <c r="A967" s="107"/>
      <c r="B967" s="105"/>
      <c r="C967" s="106"/>
      <c r="D967" s="105"/>
      <c r="E967" s="105"/>
      <c r="F967" s="107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4.25" customHeight="1">
      <c r="A968" s="107"/>
      <c r="B968" s="105"/>
      <c r="C968" s="106"/>
      <c r="D968" s="105"/>
      <c r="E968" s="105"/>
      <c r="F968" s="107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4.25" customHeight="1">
      <c r="A969" s="107"/>
      <c r="B969" s="105"/>
      <c r="C969" s="106"/>
      <c r="D969" s="105"/>
      <c r="E969" s="105"/>
      <c r="F969" s="107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4.25" customHeight="1">
      <c r="A970" s="107"/>
      <c r="B970" s="105"/>
      <c r="C970" s="106"/>
      <c r="D970" s="105"/>
      <c r="E970" s="105"/>
      <c r="F970" s="107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4.25" customHeight="1">
      <c r="A971" s="107"/>
      <c r="B971" s="105"/>
      <c r="C971" s="106"/>
      <c r="D971" s="105"/>
      <c r="E971" s="105"/>
      <c r="F971" s="107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4.25" customHeight="1">
      <c r="A972" s="107"/>
      <c r="B972" s="105"/>
      <c r="C972" s="106"/>
      <c r="D972" s="105"/>
      <c r="E972" s="105"/>
      <c r="F972" s="107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4.25" customHeight="1">
      <c r="A973" s="107"/>
      <c r="B973" s="105"/>
      <c r="C973" s="106"/>
      <c r="D973" s="105"/>
      <c r="E973" s="105"/>
      <c r="F973" s="107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4.25" customHeight="1">
      <c r="A974" s="107"/>
      <c r="B974" s="105"/>
      <c r="C974" s="106"/>
      <c r="D974" s="105"/>
      <c r="E974" s="105"/>
      <c r="F974" s="107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4.25" customHeight="1">
      <c r="A975" s="107"/>
      <c r="B975" s="105"/>
      <c r="C975" s="106"/>
      <c r="D975" s="105"/>
      <c r="E975" s="105"/>
      <c r="F975" s="107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4.25" customHeight="1">
      <c r="A976" s="107"/>
      <c r="B976" s="105"/>
      <c r="C976" s="106"/>
      <c r="D976" s="105"/>
      <c r="E976" s="105"/>
      <c r="F976" s="107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4.25" customHeight="1">
      <c r="A977" s="107"/>
      <c r="B977" s="105"/>
      <c r="C977" s="106"/>
      <c r="D977" s="105"/>
      <c r="E977" s="105"/>
      <c r="F977" s="107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4.25" customHeight="1">
      <c r="A978" s="107"/>
      <c r="B978" s="105"/>
      <c r="C978" s="106"/>
      <c r="D978" s="105"/>
      <c r="E978" s="105"/>
      <c r="F978" s="107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4.25" customHeight="1">
      <c r="A979" s="107"/>
      <c r="B979" s="105"/>
      <c r="C979" s="106"/>
      <c r="D979" s="105"/>
      <c r="E979" s="105"/>
      <c r="F979" s="107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4.25" customHeight="1">
      <c r="A980" s="107"/>
      <c r="B980" s="105"/>
      <c r="C980" s="106"/>
      <c r="D980" s="105"/>
      <c r="E980" s="105"/>
      <c r="F980" s="107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4.25" customHeight="1">
      <c r="A981" s="107"/>
      <c r="B981" s="105"/>
      <c r="C981" s="106"/>
      <c r="D981" s="105"/>
      <c r="E981" s="105"/>
      <c r="F981" s="107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4.25" customHeight="1">
      <c r="A982" s="107"/>
      <c r="B982" s="105"/>
      <c r="C982" s="106"/>
      <c r="D982" s="105"/>
      <c r="E982" s="105"/>
      <c r="F982" s="107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4.25" customHeight="1">
      <c r="A983" s="107"/>
      <c r="B983" s="105"/>
      <c r="C983" s="106"/>
      <c r="D983" s="105"/>
      <c r="E983" s="105"/>
      <c r="F983" s="107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4.25" customHeight="1">
      <c r="A984" s="107"/>
      <c r="B984" s="105"/>
      <c r="C984" s="106"/>
      <c r="D984" s="105"/>
      <c r="E984" s="105"/>
      <c r="F984" s="107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4.25" customHeight="1">
      <c r="A985" s="107"/>
      <c r="B985" s="105"/>
      <c r="C985" s="106"/>
      <c r="D985" s="105"/>
      <c r="E985" s="105"/>
      <c r="F985" s="107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4.25" customHeight="1">
      <c r="A986" s="107"/>
      <c r="B986" s="105"/>
      <c r="C986" s="106"/>
      <c r="D986" s="105"/>
      <c r="E986" s="105"/>
      <c r="F986" s="107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4.25" customHeight="1">
      <c r="A987" s="107"/>
      <c r="B987" s="105"/>
      <c r="C987" s="106"/>
      <c r="D987" s="105"/>
      <c r="E987" s="105"/>
      <c r="F987" s="107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4.25" customHeight="1">
      <c r="A988" s="107"/>
      <c r="B988" s="105"/>
      <c r="C988" s="106"/>
      <c r="D988" s="105"/>
      <c r="E988" s="105"/>
      <c r="F988" s="107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4.25" customHeight="1">
      <c r="A989" s="107"/>
      <c r="B989" s="105"/>
      <c r="C989" s="106"/>
      <c r="D989" s="105"/>
      <c r="E989" s="105"/>
      <c r="F989" s="107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4.25" customHeight="1">
      <c r="A990" s="107"/>
      <c r="B990" s="105"/>
      <c r="C990" s="106"/>
      <c r="D990" s="105"/>
      <c r="E990" s="105"/>
      <c r="F990" s="107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4.25" customHeight="1">
      <c r="A991" s="107"/>
      <c r="B991" s="105"/>
      <c r="C991" s="106"/>
      <c r="D991" s="105"/>
      <c r="E991" s="105"/>
      <c r="F991" s="107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4.25" customHeight="1">
      <c r="A992" s="107"/>
      <c r="B992" s="105"/>
      <c r="C992" s="106"/>
      <c r="D992" s="105"/>
      <c r="E992" s="105"/>
      <c r="F992" s="107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4.25" customHeight="1">
      <c r="A993" s="107"/>
      <c r="B993" s="105"/>
      <c r="C993" s="106"/>
      <c r="D993" s="105"/>
      <c r="E993" s="105"/>
      <c r="F993" s="107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4.25" customHeight="1">
      <c r="A994" s="107"/>
      <c r="B994" s="105"/>
      <c r="C994" s="106"/>
      <c r="D994" s="105"/>
      <c r="E994" s="105"/>
      <c r="F994" s="107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4.25" customHeight="1">
      <c r="A995" s="107"/>
      <c r="B995" s="105"/>
      <c r="C995" s="106"/>
      <c r="D995" s="105"/>
      <c r="E995" s="105"/>
      <c r="F995" s="107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4.25" customHeight="1">
      <c r="A996" s="107"/>
      <c r="B996" s="105"/>
      <c r="C996" s="106"/>
      <c r="D996" s="105"/>
      <c r="E996" s="105"/>
      <c r="F996" s="107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4.25" customHeight="1">
      <c r="A997" s="107"/>
      <c r="B997" s="105"/>
      <c r="C997" s="106"/>
      <c r="D997" s="105"/>
      <c r="E997" s="105"/>
      <c r="F997" s="107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4.25" customHeight="1">
      <c r="A998" s="107"/>
      <c r="B998" s="105"/>
      <c r="C998" s="106"/>
      <c r="D998" s="105"/>
      <c r="E998" s="105"/>
      <c r="F998" s="107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4.25" customHeight="1">
      <c r="A999" s="107"/>
      <c r="B999" s="105"/>
      <c r="C999" s="106"/>
      <c r="D999" s="105"/>
      <c r="E999" s="105"/>
      <c r="F999" s="107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4.25" customHeight="1">
      <c r="A1000" s="107"/>
      <c r="B1000" s="105"/>
      <c r="C1000" s="106"/>
      <c r="D1000" s="105"/>
      <c r="E1000" s="105"/>
      <c r="F1000" s="107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autoFilter ref="$B$5:$I$74"/>
  <mergeCells count="19">
    <mergeCell ref="J19:K19"/>
    <mergeCell ref="J20:K24"/>
    <mergeCell ref="J51:K53"/>
    <mergeCell ref="J57:K62"/>
    <mergeCell ref="J63:K65"/>
    <mergeCell ref="A20:A24"/>
    <mergeCell ref="A27:A32"/>
    <mergeCell ref="A35:A40"/>
    <mergeCell ref="A47:A72"/>
    <mergeCell ref="D33:H33"/>
    <mergeCell ref="D41:H41"/>
    <mergeCell ref="D45:H45"/>
    <mergeCell ref="B3:H3"/>
    <mergeCell ref="D4:H4"/>
    <mergeCell ref="A6:A9"/>
    <mergeCell ref="D10:H10"/>
    <mergeCell ref="A12:A17"/>
    <mergeCell ref="D18:H18"/>
    <mergeCell ref="D25:H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8.25"/>
    <col customWidth="1" min="3" max="3" width="12.13"/>
    <col customWidth="1" min="4" max="4" width="20.88"/>
    <col customWidth="1" min="5" max="6" width="6.75"/>
    <col customWidth="1" min="7" max="7" width="31.5"/>
    <col customWidth="1" min="8" max="8" width="28.88"/>
    <col customWidth="1" min="9" max="9" width="20.88"/>
    <col customWidth="1" min="10" max="10" width="51.88"/>
    <col customWidth="1" min="11" max="26" width="5.88"/>
  </cols>
  <sheetData>
    <row r="1" ht="12.75" customHeight="1">
      <c r="A1" s="2"/>
      <c r="B1" s="2"/>
      <c r="C1" s="2"/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135" t="s">
        <v>118</v>
      </c>
      <c r="C4" s="136" t="s">
        <v>539</v>
      </c>
      <c r="D4" s="136" t="s">
        <v>540</v>
      </c>
      <c r="E4" s="136" t="s">
        <v>102</v>
      </c>
      <c r="F4" s="136" t="s">
        <v>541</v>
      </c>
      <c r="G4" s="136" t="s">
        <v>104</v>
      </c>
      <c r="H4" s="137" t="s">
        <v>105</v>
      </c>
      <c r="I4" s="136" t="s">
        <v>106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6.5" customHeight="1">
      <c r="A5" s="2"/>
      <c r="B5" s="32" t="s">
        <v>88</v>
      </c>
      <c r="C5" s="138" t="s">
        <v>89</v>
      </c>
      <c r="D5" s="51" t="s">
        <v>90</v>
      </c>
      <c r="E5" s="32" t="s">
        <v>510</v>
      </c>
      <c r="F5" s="32" t="s">
        <v>477</v>
      </c>
      <c r="G5" s="51" t="s">
        <v>542</v>
      </c>
      <c r="H5" s="51" t="s">
        <v>543</v>
      </c>
      <c r="I5" s="51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6.5" customHeight="1">
      <c r="A6" s="2"/>
      <c r="B6" s="32" t="s">
        <v>88</v>
      </c>
      <c r="C6" s="138" t="s">
        <v>93</v>
      </c>
      <c r="D6" s="51" t="s">
        <v>94</v>
      </c>
      <c r="E6" s="32" t="s">
        <v>433</v>
      </c>
      <c r="F6" s="32" t="s">
        <v>434</v>
      </c>
      <c r="G6" s="51" t="s">
        <v>544</v>
      </c>
      <c r="H6" s="51" t="s">
        <v>545</v>
      </c>
      <c r="I6" s="51" t="s">
        <v>13</v>
      </c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6.5" customHeight="1">
      <c r="A7" s="2"/>
      <c r="B7" s="32" t="s">
        <v>88</v>
      </c>
      <c r="C7" s="138" t="s">
        <v>546</v>
      </c>
      <c r="D7" s="51" t="s">
        <v>98</v>
      </c>
      <c r="E7" s="32" t="s">
        <v>547</v>
      </c>
      <c r="F7" s="32" t="s">
        <v>548</v>
      </c>
      <c r="G7" s="51" t="s">
        <v>549</v>
      </c>
      <c r="H7" s="51" t="s">
        <v>543</v>
      </c>
      <c r="I7" s="51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6.5" customHeight="1">
      <c r="A8" s="2"/>
      <c r="B8" s="32" t="s">
        <v>88</v>
      </c>
      <c r="C8" s="138" t="s">
        <v>550</v>
      </c>
      <c r="D8" s="51" t="s">
        <v>551</v>
      </c>
      <c r="E8" s="32" t="s">
        <v>433</v>
      </c>
      <c r="F8" s="32" t="s">
        <v>434</v>
      </c>
      <c r="G8" s="51" t="s">
        <v>552</v>
      </c>
      <c r="H8" s="51" t="s">
        <v>543</v>
      </c>
      <c r="I8" s="51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9.38"/>
    <col customWidth="1" min="3" max="3" width="23.0"/>
    <col customWidth="1" min="4" max="4" width="19.0"/>
    <col customWidth="1" min="5" max="26" width="6.0"/>
  </cols>
  <sheetData>
    <row r="1" ht="14.25" customHeight="1">
      <c r="A1" s="12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4.25" customHeight="1">
      <c r="A2" s="12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4.25" customHeight="1">
      <c r="A3" s="120"/>
      <c r="B3" s="131"/>
      <c r="C3" s="131" t="s">
        <v>553</v>
      </c>
      <c r="D3" s="131" t="s">
        <v>554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4.25" customHeight="1">
      <c r="A4" s="120" t="s">
        <v>250</v>
      </c>
      <c r="B4" s="131" t="s">
        <v>84</v>
      </c>
      <c r="C4" s="105" t="s">
        <v>387</v>
      </c>
      <c r="D4" s="131" t="s">
        <v>388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4.25" customHeight="1">
      <c r="A5" s="120"/>
      <c r="B5" s="131"/>
      <c r="C5" s="105" t="s">
        <v>389</v>
      </c>
      <c r="D5" s="131" t="s">
        <v>390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4.25" customHeight="1">
      <c r="A6" s="120"/>
      <c r="B6" s="131"/>
      <c r="C6" s="105" t="s">
        <v>391</v>
      </c>
      <c r="D6" s="131" t="s">
        <v>392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4.25" customHeight="1">
      <c r="A7" s="120"/>
      <c r="B7" s="131"/>
      <c r="C7" s="105" t="s">
        <v>393</v>
      </c>
      <c r="D7" s="131" t="s">
        <v>394</v>
      </c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4.25" customHeight="1">
      <c r="A8" s="120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14.25" customHeight="1">
      <c r="A9" s="120" t="s">
        <v>261</v>
      </c>
      <c r="B9" s="131" t="s">
        <v>396</v>
      </c>
      <c r="C9" s="120" t="s">
        <v>397</v>
      </c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4.25" customHeight="1">
      <c r="A10" s="120"/>
      <c r="B10" s="131"/>
      <c r="C10" s="120" t="s">
        <v>398</v>
      </c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4.25" customHeight="1">
      <c r="A11" s="120"/>
      <c r="B11" s="131"/>
      <c r="C11" s="120" t="s">
        <v>399</v>
      </c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14.25" customHeight="1">
      <c r="A12" s="120"/>
      <c r="B12" s="131"/>
      <c r="C12" s="120" t="s">
        <v>400</v>
      </c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4.25" customHeight="1">
      <c r="A13" s="120"/>
      <c r="B13" s="131"/>
      <c r="C13" s="120" t="s">
        <v>401</v>
      </c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4.25" customHeight="1">
      <c r="A14" s="120"/>
      <c r="B14" s="131"/>
      <c r="C14" s="120" t="s">
        <v>402</v>
      </c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4.25" customHeight="1">
      <c r="A15" s="120"/>
      <c r="B15" s="131"/>
      <c r="C15" s="120" t="s">
        <v>403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4.25" customHeight="1">
      <c r="A16" s="120"/>
      <c r="B16" s="131"/>
      <c r="C16" s="120" t="s">
        <v>404</v>
      </c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4.25" customHeight="1">
      <c r="A17" s="120"/>
      <c r="B17" s="131"/>
      <c r="C17" s="120" t="s">
        <v>405</v>
      </c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4.25" customHeight="1">
      <c r="A18" s="120"/>
      <c r="B18" s="131"/>
      <c r="C18" s="120" t="s">
        <v>406</v>
      </c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4.25" customHeight="1">
      <c r="A19" s="120"/>
      <c r="B19" s="131"/>
      <c r="C19" s="120" t="s">
        <v>407</v>
      </c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4.25" customHeight="1">
      <c r="A20" s="120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4.25" customHeight="1">
      <c r="A21" s="12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14.25" customHeight="1">
      <c r="A22" s="120" t="s">
        <v>261</v>
      </c>
      <c r="B22" s="131" t="s">
        <v>409</v>
      </c>
      <c r="C22" s="131" t="s">
        <v>410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ht="14.25" customHeight="1">
      <c r="A23" s="120"/>
      <c r="B23" s="131"/>
      <c r="C23" s="131" t="s">
        <v>411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14.25" customHeight="1">
      <c r="A24" s="120"/>
      <c r="B24" s="131"/>
      <c r="C24" s="131" t="s">
        <v>412</v>
      </c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4.25" customHeight="1">
      <c r="A25" s="120"/>
      <c r="B25" s="131"/>
      <c r="C25" s="131" t="s">
        <v>413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4.25" customHeight="1">
      <c r="A26" s="120"/>
      <c r="B26" s="131"/>
      <c r="C26" s="131" t="s">
        <v>414</v>
      </c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4.25" customHeight="1">
      <c r="A27" s="120"/>
      <c r="B27" s="131"/>
      <c r="C27" s="131" t="s">
        <v>415</v>
      </c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4.25" customHeight="1">
      <c r="A28" s="120"/>
      <c r="B28" s="131"/>
      <c r="C28" s="131" t="s">
        <v>416</v>
      </c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14.25" customHeight="1">
      <c r="A29" s="120"/>
      <c r="B29" s="131"/>
      <c r="C29" s="131" t="s">
        <v>417</v>
      </c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14.25" customHeight="1">
      <c r="A30" s="120"/>
      <c r="B30" s="131"/>
      <c r="C30" s="131" t="s">
        <v>418</v>
      </c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4.25" customHeight="1">
      <c r="A31" s="120"/>
      <c r="B31" s="131"/>
      <c r="C31" s="131" t="s">
        <v>419</v>
      </c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4.25" customHeight="1">
      <c r="A32" s="120"/>
      <c r="B32" s="131"/>
      <c r="C32" s="131" t="s">
        <v>420</v>
      </c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4.25" customHeight="1">
      <c r="A33" s="12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4.25" customHeight="1">
      <c r="A34" s="12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4.25" customHeight="1">
      <c r="A35" s="120" t="s">
        <v>555</v>
      </c>
      <c r="B35" s="131" t="s">
        <v>422</v>
      </c>
      <c r="C35" s="131" t="s">
        <v>423</v>
      </c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4.25" customHeight="1">
      <c r="A36" s="120"/>
      <c r="B36" s="131"/>
      <c r="C36" s="131" t="s">
        <v>424</v>
      </c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4.25" customHeight="1">
      <c r="A37" s="120"/>
      <c r="B37" s="131"/>
      <c r="C37" s="131" t="s">
        <v>425</v>
      </c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4.25" customHeight="1">
      <c r="A38" s="120"/>
      <c r="B38" s="131"/>
      <c r="C38" s="131" t="s">
        <v>426</v>
      </c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ht="14.25" customHeight="1">
      <c r="A39" s="12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ht="14.25" customHeight="1">
      <c r="A40" s="12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ht="14.25" customHeight="1">
      <c r="A41" s="12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4.25" customHeight="1">
      <c r="A42" s="12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4.25" customHeight="1">
      <c r="A43" s="12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ht="14.25" customHeight="1">
      <c r="A44" s="12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4.25" customHeight="1">
      <c r="A45" s="12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ht="14.25" customHeight="1">
      <c r="A46" s="12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ht="14.25" customHeight="1">
      <c r="A47" s="12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14.25" customHeight="1">
      <c r="A48" s="12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ht="14.25" customHeight="1">
      <c r="A49" s="12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ht="14.25" customHeight="1">
      <c r="A50" s="12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ht="14.25" customHeight="1">
      <c r="A51" s="12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ht="14.25" customHeight="1">
      <c r="A52" s="12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ht="14.25" customHeight="1">
      <c r="A53" s="12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ht="14.25" customHeight="1">
      <c r="A54" s="12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ht="14.25" customHeight="1">
      <c r="A55" s="12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ht="14.25" customHeight="1">
      <c r="A56" s="12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ht="14.25" customHeight="1">
      <c r="A57" s="12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ht="14.25" customHeight="1">
      <c r="A58" s="12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ht="14.25" customHeight="1">
      <c r="A59" s="12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ht="14.25" customHeight="1">
      <c r="A60" s="12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ht="14.25" customHeight="1">
      <c r="A61" s="12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ht="14.25" customHeight="1">
      <c r="A62" s="12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4.25" customHeight="1">
      <c r="A63" s="12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ht="14.25" customHeight="1">
      <c r="A64" s="12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4.25" customHeight="1">
      <c r="A65" s="12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14.25" customHeight="1">
      <c r="A66" s="12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4.25" customHeight="1">
      <c r="A67" s="12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4.25" customHeight="1">
      <c r="A68" s="12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4.25" customHeight="1">
      <c r="A69" s="12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4.25" customHeight="1">
      <c r="A70" s="12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ht="14.25" customHeight="1">
      <c r="A71" s="12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ht="14.25" customHeight="1">
      <c r="A72" s="12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4.25" customHeight="1">
      <c r="A73" s="12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4.25" customHeight="1">
      <c r="A74" s="12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ht="14.25" customHeight="1">
      <c r="A75" s="12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ht="14.25" customHeight="1">
      <c r="A76" s="12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ht="14.25" customHeight="1">
      <c r="A77" s="12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14.25" customHeight="1">
      <c r="A78" s="12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4.25" customHeight="1">
      <c r="A79" s="12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ht="14.25" customHeight="1">
      <c r="A80" s="12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ht="14.25" customHeight="1">
      <c r="A81" s="12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ht="14.25" customHeight="1">
      <c r="A82" s="12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4.25" customHeight="1">
      <c r="A83" s="12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4.25" customHeight="1">
      <c r="A84" s="12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4.25" customHeight="1">
      <c r="A85" s="12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4.25" customHeight="1">
      <c r="A86" s="12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4.25" customHeight="1">
      <c r="A87" s="12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4.25" customHeight="1">
      <c r="A88" s="12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ht="14.25" customHeight="1">
      <c r="A89" s="12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ht="14.25" customHeight="1">
      <c r="A90" s="12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ht="14.25" customHeight="1">
      <c r="A91" s="12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ht="14.25" customHeight="1">
      <c r="A92" s="12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14.25" customHeight="1">
      <c r="A93" s="12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ht="14.25" customHeight="1">
      <c r="A94" s="12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ht="14.25" customHeight="1">
      <c r="A95" s="12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ht="14.25" customHeight="1">
      <c r="A96" s="12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ht="14.25" customHeight="1">
      <c r="A97" s="12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4.25" customHeight="1">
      <c r="A98" s="12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ht="14.25" customHeight="1">
      <c r="A99" s="12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ht="14.25" customHeight="1">
      <c r="A100" s="12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ht="14.25" customHeight="1">
      <c r="A101" s="12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ht="14.25" customHeight="1">
      <c r="A102" s="12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ht="14.25" customHeight="1">
      <c r="A103" s="120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ht="14.25" customHeight="1">
      <c r="A104" s="120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ht="14.25" customHeight="1">
      <c r="A105" s="120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ht="14.25" customHeight="1">
      <c r="A106" s="120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ht="14.25" customHeight="1">
      <c r="A107" s="120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ht="14.25" customHeight="1">
      <c r="A108" s="120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ht="14.25" customHeight="1">
      <c r="A109" s="120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4.25" customHeight="1">
      <c r="A110" s="120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4.25" customHeight="1">
      <c r="A111" s="120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ht="14.25" customHeight="1">
      <c r="A112" s="120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ht="14.25" customHeight="1">
      <c r="A113" s="120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ht="14.25" customHeight="1">
      <c r="A114" s="120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ht="14.25" customHeight="1">
      <c r="A115" s="120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ht="14.25" customHeight="1">
      <c r="A116" s="120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ht="14.25" customHeight="1">
      <c r="A117" s="12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ht="14.25" customHeight="1">
      <c r="A118" s="120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ht="14.25" customHeight="1">
      <c r="A119" s="120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4.25" customHeight="1">
      <c r="A120" s="120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ht="14.25" customHeight="1">
      <c r="A121" s="120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ht="14.25" customHeight="1">
      <c r="A122" s="120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ht="14.25" customHeight="1">
      <c r="A123" s="120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4.25" customHeight="1">
      <c r="A124" s="120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4.25" customHeight="1">
      <c r="A125" s="120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14.25" customHeight="1">
      <c r="A126" s="120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14.25" customHeight="1">
      <c r="A127" s="120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14.25" customHeight="1">
      <c r="A128" s="120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14.25" customHeight="1">
      <c r="A129" s="120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14.25" customHeight="1">
      <c r="A130" s="120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14.25" customHeight="1">
      <c r="A131" s="120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14.25" customHeight="1">
      <c r="A132" s="120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14.25" customHeight="1">
      <c r="A133" s="120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14.25" customHeight="1">
      <c r="A134" s="120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14.25" customHeight="1">
      <c r="A135" s="120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4.25" customHeight="1">
      <c r="A136" s="120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14.25" customHeight="1">
      <c r="A137" s="120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4.25" customHeight="1">
      <c r="A138" s="120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14.25" customHeight="1">
      <c r="A139" s="120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14.25" customHeight="1">
      <c r="A140" s="120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14.25" customHeight="1">
      <c r="A141" s="120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14.25" customHeight="1">
      <c r="A142" s="120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14.25" customHeight="1">
      <c r="A143" s="120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14.25" customHeight="1">
      <c r="A144" s="120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14.25" customHeight="1">
      <c r="A145" s="120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14.25" customHeight="1">
      <c r="A146" s="120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14.25" customHeight="1">
      <c r="A147" s="120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14.25" customHeight="1">
      <c r="A148" s="120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14.25" customHeight="1">
      <c r="A149" s="120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14.25" customHeight="1">
      <c r="A150" s="120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ht="14.25" customHeight="1">
      <c r="A151" s="120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14.25" customHeight="1">
      <c r="A152" s="120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14.25" customHeight="1">
      <c r="A153" s="120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14.25" customHeight="1">
      <c r="A154" s="120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14.25" customHeight="1">
      <c r="A155" s="120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14.25" customHeight="1">
      <c r="A156" s="120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14.25" customHeight="1">
      <c r="A157" s="120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14.25" customHeight="1">
      <c r="A158" s="120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14.25" customHeight="1">
      <c r="A159" s="120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14.25" customHeight="1">
      <c r="A160" s="120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14.25" customHeight="1">
      <c r="A161" s="120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14.25" customHeight="1">
      <c r="A162" s="120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14.25" customHeight="1">
      <c r="A163" s="120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14.25" customHeight="1">
      <c r="A164" s="120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14.25" customHeight="1">
      <c r="A165" s="120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14.25" customHeight="1">
      <c r="A166" s="120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14.25" customHeight="1">
      <c r="A167" s="120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14.25" customHeight="1">
      <c r="A168" s="120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14.25" customHeight="1">
      <c r="A169" s="120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14.25" customHeight="1">
      <c r="A170" s="120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14.25" customHeight="1">
      <c r="A171" s="120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14.25" customHeight="1">
      <c r="A172" s="120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14.25" customHeight="1">
      <c r="A173" s="120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14.25" customHeight="1">
      <c r="A174" s="120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14.25" customHeight="1">
      <c r="A175" s="120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14.25" customHeight="1">
      <c r="A176" s="120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14.25" customHeight="1">
      <c r="A177" s="120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14.25" customHeight="1">
      <c r="A178" s="120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14.25" customHeight="1">
      <c r="A179" s="120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14.25" customHeight="1">
      <c r="A180" s="120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14.25" customHeight="1">
      <c r="A181" s="120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14.25" customHeight="1">
      <c r="A182" s="120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14.25" customHeight="1">
      <c r="A183" s="120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14.25" customHeight="1">
      <c r="A184" s="120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14.25" customHeight="1">
      <c r="A185" s="120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14.25" customHeight="1">
      <c r="A186" s="120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14.25" customHeight="1">
      <c r="A187" s="120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14.25" customHeight="1">
      <c r="A188" s="120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14.25" customHeight="1">
      <c r="A189" s="120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14.25" customHeight="1">
      <c r="A190" s="120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14.25" customHeight="1">
      <c r="A191" s="120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14.25" customHeight="1">
      <c r="A192" s="120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14.25" customHeight="1">
      <c r="A193" s="120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14.25" customHeight="1">
      <c r="A194" s="120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14.25" customHeight="1">
      <c r="A195" s="120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14.25" customHeight="1">
      <c r="A196" s="120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14.25" customHeight="1">
      <c r="A197" s="120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14.25" customHeight="1">
      <c r="A198" s="120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14.25" customHeight="1">
      <c r="A199" s="120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14.25" customHeight="1">
      <c r="A200" s="120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14.25" customHeight="1">
      <c r="A201" s="120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14.25" customHeight="1">
      <c r="A202" s="120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14.25" customHeight="1">
      <c r="A203" s="120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14.25" customHeight="1">
      <c r="A204" s="120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14.25" customHeight="1">
      <c r="A205" s="120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14.25" customHeight="1">
      <c r="A206" s="120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14.25" customHeight="1">
      <c r="A207" s="120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14.25" customHeight="1">
      <c r="A208" s="120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14.25" customHeight="1">
      <c r="A209" s="120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14.25" customHeight="1">
      <c r="A210" s="120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14.25" customHeight="1">
      <c r="A211" s="120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14.25" customHeight="1">
      <c r="A212" s="120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14.25" customHeight="1">
      <c r="A213" s="120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14.25" customHeight="1">
      <c r="A214" s="120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14.25" customHeight="1">
      <c r="A215" s="120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14.25" customHeight="1">
      <c r="A216" s="120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14.25" customHeight="1">
      <c r="A217" s="120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14.25" customHeight="1">
      <c r="A218" s="120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14.25" customHeight="1">
      <c r="A219" s="120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14.25" customHeight="1">
      <c r="A220" s="120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14.25" customHeight="1">
      <c r="A221" s="120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14.25" customHeight="1">
      <c r="A222" s="120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14.25" customHeight="1">
      <c r="A223" s="120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14.25" customHeight="1">
      <c r="A224" s="120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14.25" customHeight="1">
      <c r="A225" s="120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14.25" customHeight="1">
      <c r="A226" s="120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14.25" customHeight="1">
      <c r="A227" s="120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14.25" customHeight="1">
      <c r="A228" s="120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14.25" customHeight="1">
      <c r="A229" s="120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14.25" customHeight="1">
      <c r="A230" s="120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14.25" customHeight="1">
      <c r="A231" s="120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14.25" customHeight="1">
      <c r="A232" s="120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14.25" customHeight="1">
      <c r="A233" s="120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14.25" customHeight="1">
      <c r="A234" s="120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14.25" customHeight="1">
      <c r="A235" s="120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14.25" customHeight="1">
      <c r="A236" s="120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14.25" customHeight="1">
      <c r="A237" s="120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14.25" customHeight="1">
      <c r="A238" s="120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14.25" customHeight="1">
      <c r="A239" s="120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14.25" customHeight="1">
      <c r="A240" s="120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14.25" customHeight="1">
      <c r="A241" s="120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14.25" customHeight="1">
      <c r="A242" s="120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14.25" customHeight="1">
      <c r="A243" s="120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14.25" customHeight="1">
      <c r="A244" s="120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14.25" customHeight="1">
      <c r="A245" s="120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14.25" customHeight="1">
      <c r="A246" s="120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14.25" customHeight="1">
      <c r="A247" s="120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14.25" customHeight="1">
      <c r="A248" s="120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14.25" customHeight="1">
      <c r="A249" s="120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14.25" customHeight="1">
      <c r="A250" s="120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14.25" customHeight="1">
      <c r="A251" s="120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14.25" customHeight="1">
      <c r="A252" s="120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14.25" customHeight="1">
      <c r="A253" s="120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14.25" customHeight="1">
      <c r="A254" s="120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14.25" customHeight="1">
      <c r="A255" s="120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14.25" customHeight="1">
      <c r="A256" s="120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14.25" customHeight="1">
      <c r="A257" s="120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14.25" customHeight="1">
      <c r="A258" s="120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14.25" customHeight="1">
      <c r="A259" s="120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14.25" customHeight="1">
      <c r="A260" s="120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14.25" customHeight="1">
      <c r="A261" s="120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14.25" customHeight="1">
      <c r="A262" s="120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14.25" customHeight="1">
      <c r="A263" s="120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14.25" customHeight="1">
      <c r="A264" s="120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14.25" customHeight="1">
      <c r="A265" s="120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14.25" customHeight="1">
      <c r="A266" s="120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14.25" customHeight="1">
      <c r="A267" s="120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14.25" customHeight="1">
      <c r="A268" s="120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14.25" customHeight="1">
      <c r="A269" s="120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14.25" customHeight="1">
      <c r="A270" s="120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14.25" customHeight="1">
      <c r="A271" s="120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14.25" customHeight="1">
      <c r="A272" s="120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14.25" customHeight="1">
      <c r="A273" s="120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14.25" customHeight="1">
      <c r="A274" s="120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14.25" customHeight="1">
      <c r="A275" s="120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14.25" customHeight="1">
      <c r="A276" s="120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14.25" customHeight="1">
      <c r="A277" s="120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14.25" customHeight="1">
      <c r="A278" s="120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14.25" customHeight="1">
      <c r="A279" s="120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14.25" customHeight="1">
      <c r="A280" s="120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14.25" customHeight="1">
      <c r="A281" s="120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14.25" customHeight="1">
      <c r="A282" s="120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4.25" customHeight="1">
      <c r="A283" s="120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14.25" customHeight="1">
      <c r="A284" s="120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14.25" customHeight="1">
      <c r="A285" s="120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14.25" customHeight="1">
      <c r="A286" s="120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14.25" customHeight="1">
      <c r="A287" s="120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14.25" customHeight="1">
      <c r="A288" s="120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14.25" customHeight="1">
      <c r="A289" s="120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14.25" customHeight="1">
      <c r="A290" s="120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14.25" customHeight="1">
      <c r="A291" s="120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14.25" customHeight="1">
      <c r="A292" s="120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14.25" customHeight="1">
      <c r="A293" s="120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14.25" customHeight="1">
      <c r="A294" s="120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14.25" customHeight="1">
      <c r="A295" s="120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14.25" customHeight="1">
      <c r="A296" s="120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14.25" customHeight="1">
      <c r="A297" s="120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14.25" customHeight="1">
      <c r="A298" s="120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14.25" customHeight="1">
      <c r="A299" s="120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14.25" customHeight="1">
      <c r="A300" s="120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14.25" customHeight="1">
      <c r="A301" s="120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14.25" customHeight="1">
      <c r="A302" s="120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14.25" customHeight="1">
      <c r="A303" s="120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14.25" customHeight="1">
      <c r="A304" s="120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ht="14.25" customHeight="1">
      <c r="A305" s="120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ht="14.25" customHeight="1">
      <c r="A306" s="120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ht="14.25" customHeight="1">
      <c r="A307" s="120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ht="14.25" customHeight="1">
      <c r="A308" s="120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ht="14.25" customHeight="1">
      <c r="A309" s="120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ht="14.25" customHeight="1">
      <c r="A310" s="120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ht="14.25" customHeight="1">
      <c r="A311" s="120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ht="14.25" customHeight="1">
      <c r="A312" s="120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ht="14.25" customHeight="1">
      <c r="A313" s="120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ht="14.25" customHeight="1">
      <c r="A314" s="120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ht="14.25" customHeight="1">
      <c r="A315" s="120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ht="14.25" customHeight="1">
      <c r="A316" s="120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ht="14.25" customHeight="1">
      <c r="A317" s="120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ht="14.25" customHeight="1">
      <c r="A318" s="120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ht="14.25" customHeight="1">
      <c r="A319" s="120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ht="14.25" customHeight="1">
      <c r="A320" s="120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ht="14.25" customHeight="1">
      <c r="A321" s="120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ht="14.25" customHeight="1">
      <c r="A322" s="120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ht="14.25" customHeight="1">
      <c r="A323" s="120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ht="14.25" customHeight="1">
      <c r="A324" s="120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ht="14.25" customHeight="1">
      <c r="A325" s="120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ht="14.25" customHeight="1">
      <c r="A326" s="120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ht="14.25" customHeight="1">
      <c r="A327" s="120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ht="14.25" customHeight="1">
      <c r="A328" s="120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ht="14.25" customHeight="1">
      <c r="A329" s="120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ht="14.25" customHeight="1">
      <c r="A330" s="120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ht="14.25" customHeight="1">
      <c r="A331" s="120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ht="14.25" customHeight="1">
      <c r="A332" s="120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ht="14.25" customHeight="1">
      <c r="A333" s="120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ht="14.25" customHeight="1">
      <c r="A334" s="120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ht="14.25" customHeight="1">
      <c r="A335" s="120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ht="14.25" customHeight="1">
      <c r="A336" s="120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ht="14.25" customHeight="1">
      <c r="A337" s="120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ht="14.25" customHeight="1">
      <c r="A338" s="120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ht="14.25" customHeight="1">
      <c r="A339" s="120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ht="14.25" customHeight="1">
      <c r="A340" s="120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ht="14.25" customHeight="1">
      <c r="A341" s="120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ht="14.25" customHeight="1">
      <c r="A342" s="120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ht="14.25" customHeight="1">
      <c r="A343" s="120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ht="14.25" customHeight="1">
      <c r="A344" s="120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ht="14.25" customHeight="1">
      <c r="A345" s="120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ht="14.25" customHeight="1">
      <c r="A346" s="120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ht="14.25" customHeight="1">
      <c r="A347" s="120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ht="14.25" customHeight="1">
      <c r="A348" s="120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ht="14.25" customHeight="1">
      <c r="A349" s="120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ht="14.25" customHeight="1">
      <c r="A350" s="120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ht="14.25" customHeight="1">
      <c r="A351" s="120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ht="14.25" customHeight="1">
      <c r="A352" s="120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ht="14.25" customHeight="1">
      <c r="A353" s="120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ht="14.25" customHeight="1">
      <c r="A354" s="120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ht="14.25" customHeight="1">
      <c r="A355" s="120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ht="14.25" customHeight="1">
      <c r="A356" s="120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ht="14.25" customHeight="1">
      <c r="A357" s="120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ht="14.25" customHeight="1">
      <c r="A358" s="120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ht="14.25" customHeight="1">
      <c r="A359" s="120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ht="14.25" customHeight="1">
      <c r="A360" s="120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ht="14.25" customHeight="1">
      <c r="A361" s="120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ht="14.25" customHeight="1">
      <c r="A362" s="120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ht="14.25" customHeight="1">
      <c r="A363" s="120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ht="14.25" customHeight="1">
      <c r="A364" s="120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ht="14.25" customHeight="1">
      <c r="A365" s="120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ht="14.25" customHeight="1">
      <c r="A366" s="120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ht="14.25" customHeight="1">
      <c r="A367" s="120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ht="14.25" customHeight="1">
      <c r="A368" s="120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ht="14.25" customHeight="1">
      <c r="A369" s="120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ht="14.25" customHeight="1">
      <c r="A370" s="120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ht="14.25" customHeight="1">
      <c r="A371" s="120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ht="14.25" customHeight="1">
      <c r="A372" s="120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ht="14.25" customHeight="1">
      <c r="A373" s="120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ht="14.25" customHeight="1">
      <c r="A374" s="120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ht="14.25" customHeight="1">
      <c r="A375" s="120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ht="14.25" customHeight="1">
      <c r="A376" s="120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ht="14.25" customHeight="1">
      <c r="A377" s="120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ht="14.25" customHeight="1">
      <c r="A378" s="120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ht="14.25" customHeight="1">
      <c r="A379" s="120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ht="14.25" customHeight="1">
      <c r="A380" s="120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ht="14.25" customHeight="1">
      <c r="A381" s="120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ht="14.25" customHeight="1">
      <c r="A382" s="120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ht="14.25" customHeight="1">
      <c r="A383" s="120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ht="14.25" customHeight="1">
      <c r="A384" s="120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ht="14.25" customHeight="1">
      <c r="A385" s="120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ht="14.25" customHeight="1">
      <c r="A386" s="120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ht="14.25" customHeight="1">
      <c r="A387" s="120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ht="14.25" customHeight="1">
      <c r="A388" s="120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ht="14.25" customHeight="1">
      <c r="A389" s="120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ht="14.25" customHeight="1">
      <c r="A390" s="120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ht="14.25" customHeight="1">
      <c r="A391" s="120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ht="14.25" customHeight="1">
      <c r="A392" s="120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ht="14.25" customHeight="1">
      <c r="A393" s="120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ht="14.25" customHeight="1">
      <c r="A394" s="120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ht="14.25" customHeight="1">
      <c r="A395" s="120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ht="14.25" customHeight="1">
      <c r="A396" s="120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ht="14.25" customHeight="1">
      <c r="A397" s="120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ht="14.25" customHeight="1">
      <c r="A398" s="120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ht="14.25" customHeight="1">
      <c r="A399" s="120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ht="14.25" customHeight="1">
      <c r="A400" s="120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ht="14.25" customHeight="1">
      <c r="A401" s="120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ht="14.25" customHeight="1">
      <c r="A402" s="120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ht="14.25" customHeight="1">
      <c r="A403" s="120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ht="14.25" customHeight="1">
      <c r="A404" s="120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ht="14.25" customHeight="1">
      <c r="A405" s="120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ht="14.25" customHeight="1">
      <c r="A406" s="120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ht="14.25" customHeight="1">
      <c r="A407" s="120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ht="14.25" customHeight="1">
      <c r="A408" s="120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ht="14.25" customHeight="1">
      <c r="A409" s="120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ht="14.25" customHeight="1">
      <c r="A410" s="120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ht="14.25" customHeight="1">
      <c r="A411" s="120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ht="14.25" customHeight="1">
      <c r="A412" s="120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ht="14.25" customHeight="1">
      <c r="A413" s="120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ht="14.25" customHeight="1">
      <c r="A414" s="120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ht="14.25" customHeight="1">
      <c r="A415" s="120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ht="14.25" customHeight="1">
      <c r="A416" s="120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ht="14.25" customHeight="1">
      <c r="A417" s="120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ht="14.25" customHeight="1">
      <c r="A418" s="120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ht="14.25" customHeight="1">
      <c r="A419" s="120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ht="14.25" customHeight="1">
      <c r="A420" s="120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ht="14.25" customHeight="1">
      <c r="A421" s="120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ht="14.25" customHeight="1">
      <c r="A422" s="120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ht="14.25" customHeight="1">
      <c r="A423" s="120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ht="14.25" customHeight="1">
      <c r="A424" s="120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ht="14.25" customHeight="1">
      <c r="A425" s="120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ht="14.25" customHeight="1">
      <c r="A426" s="120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ht="14.25" customHeight="1">
      <c r="A427" s="120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ht="14.25" customHeight="1">
      <c r="A428" s="120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ht="14.25" customHeight="1">
      <c r="A429" s="120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ht="14.25" customHeight="1">
      <c r="A430" s="120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ht="14.25" customHeight="1">
      <c r="A431" s="120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ht="14.25" customHeight="1">
      <c r="A432" s="120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ht="14.25" customHeight="1">
      <c r="A433" s="120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ht="14.25" customHeight="1">
      <c r="A434" s="120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ht="14.25" customHeight="1">
      <c r="A435" s="120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ht="14.25" customHeight="1">
      <c r="A436" s="120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ht="14.25" customHeight="1">
      <c r="A437" s="120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ht="14.25" customHeight="1">
      <c r="A438" s="120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ht="14.25" customHeight="1">
      <c r="A439" s="120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ht="14.25" customHeight="1">
      <c r="A440" s="120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ht="14.25" customHeight="1">
      <c r="A441" s="120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ht="14.25" customHeight="1">
      <c r="A442" s="120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ht="14.25" customHeight="1">
      <c r="A443" s="120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ht="14.25" customHeight="1">
      <c r="A444" s="120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ht="14.25" customHeight="1">
      <c r="A445" s="120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ht="14.25" customHeight="1">
      <c r="A446" s="120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ht="14.25" customHeight="1">
      <c r="A447" s="120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ht="14.25" customHeight="1">
      <c r="A448" s="120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ht="14.25" customHeight="1">
      <c r="A449" s="120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ht="14.25" customHeight="1">
      <c r="A450" s="120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ht="14.25" customHeight="1">
      <c r="A451" s="120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ht="14.25" customHeight="1">
      <c r="A452" s="120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ht="14.25" customHeight="1">
      <c r="A453" s="120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ht="14.25" customHeight="1">
      <c r="A454" s="120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ht="14.25" customHeight="1">
      <c r="A455" s="120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ht="14.25" customHeight="1">
      <c r="A456" s="120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ht="14.25" customHeight="1">
      <c r="A457" s="120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ht="14.25" customHeight="1">
      <c r="A458" s="120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ht="14.25" customHeight="1">
      <c r="A459" s="120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ht="14.25" customHeight="1">
      <c r="A460" s="120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ht="14.25" customHeight="1">
      <c r="A461" s="120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ht="14.25" customHeight="1">
      <c r="A462" s="120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ht="14.25" customHeight="1">
      <c r="A463" s="120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ht="14.25" customHeight="1">
      <c r="A464" s="120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ht="14.25" customHeight="1">
      <c r="A465" s="120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ht="14.25" customHeight="1">
      <c r="A466" s="120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ht="14.25" customHeight="1">
      <c r="A467" s="120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ht="14.25" customHeight="1">
      <c r="A468" s="120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ht="14.25" customHeight="1">
      <c r="A469" s="120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ht="14.25" customHeight="1">
      <c r="A470" s="120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ht="14.25" customHeight="1">
      <c r="A471" s="120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ht="14.25" customHeight="1">
      <c r="A472" s="120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ht="14.25" customHeight="1">
      <c r="A473" s="120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ht="14.25" customHeight="1">
      <c r="A474" s="120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ht="14.25" customHeight="1">
      <c r="A475" s="120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ht="14.25" customHeight="1">
      <c r="A476" s="120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ht="14.25" customHeight="1">
      <c r="A477" s="120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ht="14.25" customHeight="1">
      <c r="A478" s="120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ht="14.25" customHeight="1">
      <c r="A479" s="120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ht="14.25" customHeight="1">
      <c r="A480" s="120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ht="14.25" customHeight="1">
      <c r="A481" s="120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ht="14.25" customHeight="1">
      <c r="A482" s="120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ht="14.25" customHeight="1">
      <c r="A483" s="120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ht="14.25" customHeight="1">
      <c r="A484" s="120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ht="14.25" customHeight="1">
      <c r="A485" s="120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ht="14.25" customHeight="1">
      <c r="A486" s="120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ht="14.25" customHeight="1">
      <c r="A487" s="120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ht="14.25" customHeight="1">
      <c r="A488" s="120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ht="14.25" customHeight="1">
      <c r="A489" s="120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ht="14.25" customHeight="1">
      <c r="A490" s="120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ht="14.25" customHeight="1">
      <c r="A491" s="120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ht="14.25" customHeight="1">
      <c r="A492" s="120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ht="14.25" customHeight="1">
      <c r="A493" s="120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ht="14.25" customHeight="1">
      <c r="A494" s="120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ht="14.25" customHeight="1">
      <c r="A495" s="120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ht="14.25" customHeight="1">
      <c r="A496" s="120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ht="14.25" customHeight="1">
      <c r="A497" s="120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ht="14.25" customHeight="1">
      <c r="A498" s="120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ht="14.25" customHeight="1">
      <c r="A499" s="120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ht="14.25" customHeight="1">
      <c r="A500" s="120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ht="14.25" customHeight="1">
      <c r="A501" s="120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ht="14.25" customHeight="1">
      <c r="A502" s="120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ht="14.25" customHeight="1">
      <c r="A503" s="120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ht="14.25" customHeight="1">
      <c r="A504" s="120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ht="14.25" customHeight="1">
      <c r="A505" s="120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ht="14.25" customHeight="1">
      <c r="A506" s="120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ht="14.25" customHeight="1">
      <c r="A507" s="120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ht="14.25" customHeight="1">
      <c r="A508" s="120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ht="14.25" customHeight="1">
      <c r="A509" s="120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ht="14.25" customHeight="1">
      <c r="A510" s="120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ht="14.25" customHeight="1">
      <c r="A511" s="120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ht="14.25" customHeight="1">
      <c r="A512" s="120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ht="14.25" customHeight="1">
      <c r="A513" s="120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4.25" customHeight="1">
      <c r="A514" s="120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4.25" customHeight="1">
      <c r="A515" s="120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4.25" customHeight="1">
      <c r="A516" s="120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4.25" customHeight="1">
      <c r="A517" s="120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ht="14.25" customHeight="1">
      <c r="A518" s="120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ht="14.25" customHeight="1">
      <c r="A519" s="120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ht="14.25" customHeight="1">
      <c r="A520" s="120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ht="14.25" customHeight="1">
      <c r="A521" s="120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ht="14.25" customHeight="1">
      <c r="A522" s="120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ht="14.25" customHeight="1">
      <c r="A523" s="120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ht="14.25" customHeight="1">
      <c r="A524" s="120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ht="14.25" customHeight="1">
      <c r="A525" s="120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ht="14.25" customHeight="1">
      <c r="A526" s="120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ht="14.25" customHeight="1">
      <c r="A527" s="120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ht="14.25" customHeight="1">
      <c r="A528" s="120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ht="14.25" customHeight="1">
      <c r="A529" s="120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ht="14.25" customHeight="1">
      <c r="A530" s="120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ht="14.25" customHeight="1">
      <c r="A531" s="120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ht="14.25" customHeight="1">
      <c r="A532" s="120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ht="14.25" customHeight="1">
      <c r="A533" s="120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ht="14.25" customHeight="1">
      <c r="A534" s="120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ht="14.25" customHeight="1">
      <c r="A535" s="120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ht="14.25" customHeight="1">
      <c r="A536" s="120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ht="14.25" customHeight="1">
      <c r="A537" s="120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ht="14.25" customHeight="1">
      <c r="A538" s="120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ht="14.25" customHeight="1">
      <c r="A539" s="120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ht="14.25" customHeight="1">
      <c r="A540" s="120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ht="14.25" customHeight="1">
      <c r="A541" s="120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ht="14.25" customHeight="1">
      <c r="A542" s="120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ht="14.25" customHeight="1">
      <c r="A543" s="120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ht="14.25" customHeight="1">
      <c r="A544" s="120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ht="14.25" customHeight="1">
      <c r="A545" s="120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ht="14.25" customHeight="1">
      <c r="A546" s="120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ht="14.25" customHeight="1">
      <c r="A547" s="120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ht="14.25" customHeight="1">
      <c r="A548" s="120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ht="14.25" customHeight="1">
      <c r="A549" s="120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ht="14.25" customHeight="1">
      <c r="A550" s="120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ht="14.25" customHeight="1">
      <c r="A551" s="120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ht="14.25" customHeight="1">
      <c r="A552" s="120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ht="14.25" customHeight="1">
      <c r="A553" s="120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ht="14.25" customHeight="1">
      <c r="A554" s="120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ht="14.25" customHeight="1">
      <c r="A555" s="120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ht="14.25" customHeight="1">
      <c r="A556" s="120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ht="14.25" customHeight="1">
      <c r="A557" s="120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ht="14.25" customHeight="1">
      <c r="A558" s="120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ht="14.25" customHeight="1">
      <c r="A559" s="120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ht="14.25" customHeight="1">
      <c r="A560" s="120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ht="14.25" customHeight="1">
      <c r="A561" s="120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ht="14.25" customHeight="1">
      <c r="A562" s="120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ht="14.25" customHeight="1">
      <c r="A563" s="120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ht="14.25" customHeight="1">
      <c r="A564" s="120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ht="14.25" customHeight="1">
      <c r="A565" s="120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ht="14.25" customHeight="1">
      <c r="A566" s="120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ht="14.25" customHeight="1">
      <c r="A567" s="120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ht="14.25" customHeight="1">
      <c r="A568" s="120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ht="14.25" customHeight="1">
      <c r="A569" s="120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ht="14.25" customHeight="1">
      <c r="A570" s="120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ht="14.25" customHeight="1">
      <c r="A571" s="120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ht="14.25" customHeight="1">
      <c r="A572" s="120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ht="14.25" customHeight="1">
      <c r="A573" s="120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ht="14.25" customHeight="1">
      <c r="A574" s="120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ht="14.25" customHeight="1">
      <c r="A575" s="120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ht="14.25" customHeight="1">
      <c r="A576" s="120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ht="14.25" customHeight="1">
      <c r="A577" s="120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ht="14.25" customHeight="1">
      <c r="A578" s="120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ht="14.25" customHeight="1">
      <c r="A579" s="120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ht="14.25" customHeight="1">
      <c r="A580" s="120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ht="14.25" customHeight="1">
      <c r="A581" s="120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ht="14.25" customHeight="1">
      <c r="A582" s="120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ht="14.25" customHeight="1">
      <c r="A583" s="120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ht="14.25" customHeight="1">
      <c r="A584" s="120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ht="14.25" customHeight="1">
      <c r="A585" s="120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ht="14.25" customHeight="1">
      <c r="A586" s="120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ht="14.25" customHeight="1">
      <c r="A587" s="120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ht="14.25" customHeight="1">
      <c r="A588" s="120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ht="14.25" customHeight="1">
      <c r="A589" s="120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ht="14.25" customHeight="1">
      <c r="A590" s="120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ht="14.25" customHeight="1">
      <c r="A591" s="120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ht="14.25" customHeight="1">
      <c r="A592" s="120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ht="14.25" customHeight="1">
      <c r="A593" s="120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ht="14.25" customHeight="1">
      <c r="A594" s="120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ht="14.25" customHeight="1">
      <c r="A595" s="120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ht="14.25" customHeight="1">
      <c r="A596" s="120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ht="14.25" customHeight="1">
      <c r="A597" s="120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ht="14.25" customHeight="1">
      <c r="A598" s="120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ht="14.25" customHeight="1">
      <c r="A599" s="120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ht="14.25" customHeight="1">
      <c r="A600" s="120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ht="14.25" customHeight="1">
      <c r="A601" s="120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ht="14.25" customHeight="1">
      <c r="A602" s="120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ht="14.25" customHeight="1">
      <c r="A603" s="120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ht="14.25" customHeight="1">
      <c r="A604" s="120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ht="14.25" customHeight="1">
      <c r="A605" s="120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ht="14.25" customHeight="1">
      <c r="A606" s="120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ht="14.25" customHeight="1">
      <c r="A607" s="120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ht="14.25" customHeight="1">
      <c r="A608" s="120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ht="14.25" customHeight="1">
      <c r="A609" s="120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ht="14.25" customHeight="1">
      <c r="A610" s="120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ht="14.25" customHeight="1">
      <c r="A611" s="120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ht="14.25" customHeight="1">
      <c r="A612" s="120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ht="14.25" customHeight="1">
      <c r="A613" s="120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ht="14.25" customHeight="1">
      <c r="A614" s="120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ht="14.25" customHeight="1">
      <c r="A615" s="120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ht="14.25" customHeight="1">
      <c r="A616" s="120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ht="14.25" customHeight="1">
      <c r="A617" s="120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ht="14.25" customHeight="1">
      <c r="A618" s="120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ht="14.25" customHeight="1">
      <c r="A619" s="120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ht="14.25" customHeight="1">
      <c r="A620" s="120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ht="14.25" customHeight="1">
      <c r="A621" s="120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ht="14.25" customHeight="1">
      <c r="A622" s="120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ht="14.25" customHeight="1">
      <c r="A623" s="120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ht="14.25" customHeight="1">
      <c r="A624" s="120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ht="14.25" customHeight="1">
      <c r="A625" s="120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ht="14.25" customHeight="1">
      <c r="A626" s="120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ht="14.25" customHeight="1">
      <c r="A627" s="120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ht="14.25" customHeight="1">
      <c r="A628" s="120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ht="14.25" customHeight="1">
      <c r="A629" s="120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ht="14.25" customHeight="1">
      <c r="A630" s="120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ht="14.25" customHeight="1">
      <c r="A631" s="120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ht="14.25" customHeight="1">
      <c r="A632" s="120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ht="14.25" customHeight="1">
      <c r="A633" s="120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ht="14.25" customHeight="1">
      <c r="A634" s="120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ht="14.25" customHeight="1">
      <c r="A635" s="120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ht="14.25" customHeight="1">
      <c r="A636" s="120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ht="14.25" customHeight="1">
      <c r="A637" s="120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ht="14.25" customHeight="1">
      <c r="A638" s="120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ht="14.25" customHeight="1">
      <c r="A639" s="120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ht="14.25" customHeight="1">
      <c r="A640" s="120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ht="14.25" customHeight="1">
      <c r="A641" s="120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ht="14.25" customHeight="1">
      <c r="A642" s="120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ht="14.25" customHeight="1">
      <c r="A643" s="120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ht="14.25" customHeight="1">
      <c r="A644" s="120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ht="14.25" customHeight="1">
      <c r="A645" s="120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ht="14.25" customHeight="1">
      <c r="A646" s="120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ht="14.25" customHeight="1">
      <c r="A647" s="120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ht="14.25" customHeight="1">
      <c r="A648" s="120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ht="14.25" customHeight="1">
      <c r="A649" s="120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ht="14.25" customHeight="1">
      <c r="A650" s="120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ht="14.25" customHeight="1">
      <c r="A651" s="120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ht="14.25" customHeight="1">
      <c r="A652" s="120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ht="14.25" customHeight="1">
      <c r="A653" s="120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ht="14.25" customHeight="1">
      <c r="A654" s="120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ht="14.25" customHeight="1">
      <c r="A655" s="120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ht="14.25" customHeight="1">
      <c r="A656" s="120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ht="14.25" customHeight="1">
      <c r="A657" s="120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ht="14.25" customHeight="1">
      <c r="A658" s="120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ht="14.25" customHeight="1">
      <c r="A659" s="120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ht="14.25" customHeight="1">
      <c r="A660" s="120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ht="14.25" customHeight="1">
      <c r="A661" s="120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ht="14.25" customHeight="1">
      <c r="A662" s="120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ht="14.25" customHeight="1">
      <c r="A663" s="120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ht="14.25" customHeight="1">
      <c r="A664" s="120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ht="14.25" customHeight="1">
      <c r="A665" s="120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ht="14.25" customHeight="1">
      <c r="A666" s="120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ht="14.25" customHeight="1">
      <c r="A667" s="120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ht="14.25" customHeight="1">
      <c r="A668" s="120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ht="14.25" customHeight="1">
      <c r="A669" s="120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ht="14.25" customHeight="1">
      <c r="A670" s="120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ht="14.25" customHeight="1">
      <c r="A671" s="120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ht="14.25" customHeight="1">
      <c r="A672" s="120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ht="14.25" customHeight="1">
      <c r="A673" s="120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ht="14.25" customHeight="1">
      <c r="A674" s="120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ht="14.25" customHeight="1">
      <c r="A675" s="120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ht="14.25" customHeight="1">
      <c r="A676" s="120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ht="14.25" customHeight="1">
      <c r="A677" s="120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ht="14.25" customHeight="1">
      <c r="A678" s="120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ht="14.25" customHeight="1">
      <c r="A679" s="120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ht="14.25" customHeight="1">
      <c r="A680" s="120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ht="14.25" customHeight="1">
      <c r="A681" s="120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ht="14.25" customHeight="1">
      <c r="A682" s="120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ht="14.25" customHeight="1">
      <c r="A683" s="120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ht="14.25" customHeight="1">
      <c r="A684" s="120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ht="14.25" customHeight="1">
      <c r="A685" s="120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ht="14.25" customHeight="1">
      <c r="A686" s="120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ht="14.25" customHeight="1">
      <c r="A687" s="120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ht="14.25" customHeight="1">
      <c r="A688" s="120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ht="14.25" customHeight="1">
      <c r="A689" s="120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ht="14.25" customHeight="1">
      <c r="A690" s="120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ht="14.25" customHeight="1">
      <c r="A691" s="120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ht="14.25" customHeight="1">
      <c r="A692" s="120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ht="14.25" customHeight="1">
      <c r="A693" s="120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ht="14.25" customHeight="1">
      <c r="A694" s="120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ht="14.25" customHeight="1">
      <c r="A695" s="120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ht="14.25" customHeight="1">
      <c r="A696" s="120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ht="14.25" customHeight="1">
      <c r="A697" s="120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ht="14.25" customHeight="1">
      <c r="A698" s="120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ht="14.25" customHeight="1">
      <c r="A699" s="120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ht="14.25" customHeight="1">
      <c r="A700" s="120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ht="14.25" customHeight="1">
      <c r="A701" s="120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ht="14.25" customHeight="1">
      <c r="A702" s="120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ht="14.25" customHeight="1">
      <c r="A703" s="120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ht="14.25" customHeight="1">
      <c r="A704" s="120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ht="14.25" customHeight="1">
      <c r="A705" s="120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ht="14.25" customHeight="1">
      <c r="A706" s="120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ht="14.25" customHeight="1">
      <c r="A707" s="120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ht="14.25" customHeight="1">
      <c r="A708" s="120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ht="14.25" customHeight="1">
      <c r="A709" s="120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ht="14.25" customHeight="1">
      <c r="A710" s="120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ht="14.25" customHeight="1">
      <c r="A711" s="120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ht="14.25" customHeight="1">
      <c r="A712" s="120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ht="14.25" customHeight="1">
      <c r="A713" s="120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ht="14.25" customHeight="1">
      <c r="A714" s="120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ht="14.25" customHeight="1">
      <c r="A715" s="120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ht="14.25" customHeight="1">
      <c r="A716" s="120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ht="14.25" customHeight="1">
      <c r="A717" s="120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ht="14.25" customHeight="1">
      <c r="A718" s="120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ht="14.25" customHeight="1">
      <c r="A719" s="120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ht="14.25" customHeight="1">
      <c r="A720" s="120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ht="14.25" customHeight="1">
      <c r="A721" s="120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ht="14.25" customHeight="1">
      <c r="A722" s="120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ht="14.25" customHeight="1">
      <c r="A723" s="120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ht="14.25" customHeight="1">
      <c r="A724" s="120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ht="14.25" customHeight="1">
      <c r="A725" s="120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ht="14.25" customHeight="1">
      <c r="A726" s="120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ht="14.25" customHeight="1">
      <c r="A727" s="120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ht="14.25" customHeight="1">
      <c r="A728" s="120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ht="14.25" customHeight="1">
      <c r="A729" s="120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ht="14.25" customHeight="1">
      <c r="A730" s="120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ht="14.25" customHeight="1">
      <c r="A731" s="120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ht="14.25" customHeight="1">
      <c r="A732" s="120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ht="14.25" customHeight="1">
      <c r="A733" s="120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ht="14.25" customHeight="1">
      <c r="A734" s="120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ht="14.25" customHeight="1">
      <c r="A735" s="120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ht="14.25" customHeight="1">
      <c r="A736" s="120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ht="14.25" customHeight="1">
      <c r="A737" s="120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ht="14.25" customHeight="1">
      <c r="A738" s="120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ht="14.25" customHeight="1">
      <c r="A739" s="120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ht="14.25" customHeight="1">
      <c r="A740" s="120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ht="14.25" customHeight="1">
      <c r="A741" s="120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ht="14.25" customHeight="1">
      <c r="A742" s="120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ht="14.25" customHeight="1">
      <c r="A743" s="120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ht="14.25" customHeight="1">
      <c r="A744" s="120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ht="14.25" customHeight="1">
      <c r="A745" s="120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ht="14.25" customHeight="1">
      <c r="A746" s="120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ht="14.25" customHeight="1">
      <c r="A747" s="120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ht="14.25" customHeight="1">
      <c r="A748" s="120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ht="14.25" customHeight="1">
      <c r="A749" s="120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ht="14.25" customHeight="1">
      <c r="A750" s="120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ht="14.25" customHeight="1">
      <c r="A751" s="120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ht="14.25" customHeight="1">
      <c r="A752" s="120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ht="14.25" customHeight="1">
      <c r="A753" s="120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ht="14.25" customHeight="1">
      <c r="A754" s="120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ht="14.25" customHeight="1">
      <c r="A755" s="120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ht="14.25" customHeight="1">
      <c r="A756" s="120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ht="14.25" customHeight="1">
      <c r="A757" s="120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ht="14.25" customHeight="1">
      <c r="A758" s="120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ht="14.25" customHeight="1">
      <c r="A759" s="120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ht="14.25" customHeight="1">
      <c r="A760" s="120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ht="14.25" customHeight="1">
      <c r="A761" s="120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ht="14.25" customHeight="1">
      <c r="A762" s="120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ht="14.25" customHeight="1">
      <c r="A763" s="120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ht="14.25" customHeight="1">
      <c r="A764" s="120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ht="14.25" customHeight="1">
      <c r="A765" s="120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ht="14.25" customHeight="1">
      <c r="A766" s="120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ht="14.25" customHeight="1">
      <c r="A767" s="120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ht="14.25" customHeight="1">
      <c r="A768" s="120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ht="14.25" customHeight="1">
      <c r="A769" s="120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ht="14.25" customHeight="1">
      <c r="A770" s="120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ht="14.25" customHeight="1">
      <c r="A771" s="120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ht="14.25" customHeight="1">
      <c r="A772" s="120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ht="14.25" customHeight="1">
      <c r="A773" s="120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ht="14.25" customHeight="1">
      <c r="A774" s="120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ht="14.25" customHeight="1">
      <c r="A775" s="120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ht="14.25" customHeight="1">
      <c r="A776" s="120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ht="14.25" customHeight="1">
      <c r="A777" s="120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ht="14.25" customHeight="1">
      <c r="A778" s="120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ht="14.25" customHeight="1">
      <c r="A779" s="120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ht="14.25" customHeight="1">
      <c r="A780" s="120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ht="14.25" customHeight="1">
      <c r="A781" s="120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ht="14.25" customHeight="1">
      <c r="A782" s="120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ht="14.25" customHeight="1">
      <c r="A783" s="120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ht="14.25" customHeight="1">
      <c r="A784" s="120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ht="14.25" customHeight="1">
      <c r="A785" s="120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ht="14.25" customHeight="1">
      <c r="A786" s="120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ht="14.25" customHeight="1">
      <c r="A787" s="120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ht="14.25" customHeight="1">
      <c r="A788" s="120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ht="14.25" customHeight="1">
      <c r="A789" s="120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ht="14.25" customHeight="1">
      <c r="A790" s="120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ht="14.25" customHeight="1">
      <c r="A791" s="120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ht="14.25" customHeight="1">
      <c r="A792" s="120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ht="14.25" customHeight="1">
      <c r="A793" s="120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ht="14.25" customHeight="1">
      <c r="A794" s="120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ht="14.25" customHeight="1">
      <c r="A795" s="120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ht="14.25" customHeight="1">
      <c r="A796" s="120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ht="14.25" customHeight="1">
      <c r="A797" s="120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ht="14.25" customHeight="1">
      <c r="A798" s="120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ht="14.25" customHeight="1">
      <c r="A799" s="120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ht="14.25" customHeight="1">
      <c r="A800" s="120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ht="14.25" customHeight="1">
      <c r="A801" s="120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ht="14.25" customHeight="1">
      <c r="A802" s="120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ht="14.25" customHeight="1">
      <c r="A803" s="120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ht="14.25" customHeight="1">
      <c r="A804" s="120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ht="14.25" customHeight="1">
      <c r="A805" s="120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ht="14.25" customHeight="1">
      <c r="A806" s="120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ht="14.25" customHeight="1">
      <c r="A807" s="120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ht="14.25" customHeight="1">
      <c r="A808" s="120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ht="14.25" customHeight="1">
      <c r="A809" s="120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ht="14.25" customHeight="1">
      <c r="A810" s="120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ht="14.25" customHeight="1">
      <c r="A811" s="120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ht="14.25" customHeight="1">
      <c r="A812" s="120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ht="14.25" customHeight="1">
      <c r="A813" s="120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ht="14.25" customHeight="1">
      <c r="A814" s="120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ht="14.25" customHeight="1">
      <c r="A815" s="120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ht="14.25" customHeight="1">
      <c r="A816" s="120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ht="14.25" customHeight="1">
      <c r="A817" s="120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ht="14.25" customHeight="1">
      <c r="A818" s="120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ht="14.25" customHeight="1">
      <c r="A819" s="120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ht="14.25" customHeight="1">
      <c r="A820" s="120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ht="14.25" customHeight="1">
      <c r="A821" s="120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ht="14.25" customHeight="1">
      <c r="A822" s="120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ht="14.25" customHeight="1">
      <c r="A823" s="120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ht="14.25" customHeight="1">
      <c r="A824" s="120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ht="14.25" customHeight="1">
      <c r="A825" s="120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ht="14.25" customHeight="1">
      <c r="A826" s="120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ht="14.25" customHeight="1">
      <c r="A827" s="120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ht="14.25" customHeight="1">
      <c r="A828" s="120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ht="14.25" customHeight="1">
      <c r="A829" s="120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ht="14.25" customHeight="1">
      <c r="A830" s="120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ht="14.25" customHeight="1">
      <c r="A831" s="120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ht="14.25" customHeight="1">
      <c r="A832" s="120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ht="14.25" customHeight="1">
      <c r="A833" s="120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ht="14.25" customHeight="1">
      <c r="A834" s="120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ht="14.25" customHeight="1">
      <c r="A835" s="120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ht="14.25" customHeight="1">
      <c r="A836" s="120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ht="14.25" customHeight="1">
      <c r="A837" s="120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ht="14.25" customHeight="1">
      <c r="A838" s="120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ht="14.25" customHeight="1">
      <c r="A839" s="120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ht="14.25" customHeight="1">
      <c r="A840" s="120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ht="14.25" customHeight="1">
      <c r="A841" s="120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ht="14.25" customHeight="1">
      <c r="A842" s="120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ht="14.25" customHeight="1">
      <c r="A843" s="120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ht="14.25" customHeight="1">
      <c r="A844" s="120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ht="14.25" customHeight="1">
      <c r="A845" s="120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ht="14.25" customHeight="1">
      <c r="A846" s="120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ht="14.25" customHeight="1">
      <c r="A847" s="120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ht="14.25" customHeight="1">
      <c r="A848" s="120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ht="14.25" customHeight="1">
      <c r="A849" s="120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ht="14.25" customHeight="1">
      <c r="A850" s="120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ht="14.25" customHeight="1">
      <c r="A851" s="120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ht="14.25" customHeight="1">
      <c r="A852" s="120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ht="14.25" customHeight="1">
      <c r="A853" s="120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ht="14.25" customHeight="1">
      <c r="A854" s="120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ht="14.25" customHeight="1">
      <c r="A855" s="120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ht="14.25" customHeight="1">
      <c r="A856" s="120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ht="14.25" customHeight="1">
      <c r="A857" s="120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ht="14.25" customHeight="1">
      <c r="A858" s="120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ht="14.25" customHeight="1">
      <c r="A859" s="120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ht="14.25" customHeight="1">
      <c r="A860" s="120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ht="14.25" customHeight="1">
      <c r="A861" s="120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ht="14.25" customHeight="1">
      <c r="A862" s="120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ht="14.25" customHeight="1">
      <c r="A863" s="120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ht="14.25" customHeight="1">
      <c r="A864" s="120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ht="14.25" customHeight="1">
      <c r="A865" s="120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ht="14.25" customHeight="1">
      <c r="A866" s="120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ht="14.25" customHeight="1">
      <c r="A867" s="120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ht="14.25" customHeight="1">
      <c r="A868" s="120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ht="14.25" customHeight="1">
      <c r="A869" s="120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ht="14.25" customHeight="1">
      <c r="A870" s="120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ht="14.25" customHeight="1">
      <c r="A871" s="120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ht="14.25" customHeight="1">
      <c r="A872" s="120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ht="14.25" customHeight="1">
      <c r="A873" s="120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ht="14.25" customHeight="1">
      <c r="A874" s="120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ht="14.25" customHeight="1">
      <c r="A875" s="120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ht="14.25" customHeight="1">
      <c r="A876" s="120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ht="14.25" customHeight="1">
      <c r="A877" s="120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ht="14.25" customHeight="1">
      <c r="A878" s="120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ht="14.25" customHeight="1">
      <c r="A879" s="120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ht="14.25" customHeight="1">
      <c r="A880" s="120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ht="14.25" customHeight="1">
      <c r="A881" s="120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ht="14.25" customHeight="1">
      <c r="A882" s="120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ht="14.25" customHeight="1">
      <c r="A883" s="120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ht="14.25" customHeight="1">
      <c r="A884" s="120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ht="14.25" customHeight="1">
      <c r="A885" s="120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ht="14.25" customHeight="1">
      <c r="A886" s="120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ht="14.25" customHeight="1">
      <c r="A887" s="120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ht="14.25" customHeight="1">
      <c r="A888" s="120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ht="14.25" customHeight="1">
      <c r="A889" s="120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ht="14.25" customHeight="1">
      <c r="A890" s="120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ht="14.25" customHeight="1">
      <c r="A891" s="120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ht="14.25" customHeight="1">
      <c r="A892" s="120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ht="14.25" customHeight="1">
      <c r="A893" s="120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ht="14.25" customHeight="1">
      <c r="A894" s="120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ht="14.25" customHeight="1">
      <c r="A895" s="120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ht="14.25" customHeight="1">
      <c r="A896" s="120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ht="14.25" customHeight="1">
      <c r="A897" s="120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ht="14.25" customHeight="1">
      <c r="A898" s="120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ht="14.25" customHeight="1">
      <c r="A899" s="120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ht="14.25" customHeight="1">
      <c r="A900" s="120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ht="14.25" customHeight="1">
      <c r="A901" s="120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ht="14.25" customHeight="1">
      <c r="A902" s="120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ht="14.25" customHeight="1">
      <c r="A903" s="120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ht="14.25" customHeight="1">
      <c r="A904" s="120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ht="14.25" customHeight="1">
      <c r="A905" s="120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ht="14.25" customHeight="1">
      <c r="A906" s="120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ht="14.25" customHeight="1">
      <c r="A907" s="120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ht="14.25" customHeight="1">
      <c r="A908" s="120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ht="14.25" customHeight="1">
      <c r="A909" s="120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ht="14.25" customHeight="1">
      <c r="A910" s="120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ht="14.25" customHeight="1">
      <c r="A911" s="120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ht="14.25" customHeight="1">
      <c r="A912" s="120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ht="14.25" customHeight="1">
      <c r="A913" s="120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ht="14.25" customHeight="1">
      <c r="A914" s="120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ht="14.25" customHeight="1">
      <c r="A915" s="120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ht="14.25" customHeight="1">
      <c r="A916" s="120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ht="14.25" customHeight="1">
      <c r="A917" s="120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ht="14.25" customHeight="1">
      <c r="A918" s="120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ht="14.25" customHeight="1">
      <c r="A919" s="120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ht="14.25" customHeight="1">
      <c r="A920" s="120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ht="14.25" customHeight="1">
      <c r="A921" s="120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ht="14.25" customHeight="1">
      <c r="A922" s="120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ht="14.25" customHeight="1">
      <c r="A923" s="120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ht="14.25" customHeight="1">
      <c r="A924" s="120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ht="14.25" customHeight="1">
      <c r="A925" s="120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ht="14.25" customHeight="1">
      <c r="A926" s="120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ht="14.25" customHeight="1">
      <c r="A927" s="120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ht="14.25" customHeight="1">
      <c r="A928" s="120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ht="14.25" customHeight="1">
      <c r="A929" s="120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ht="14.25" customHeight="1">
      <c r="A930" s="120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ht="14.25" customHeight="1">
      <c r="A931" s="120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ht="14.25" customHeight="1">
      <c r="A932" s="120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ht="14.25" customHeight="1">
      <c r="A933" s="120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ht="14.25" customHeight="1">
      <c r="A934" s="120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ht="14.25" customHeight="1">
      <c r="A935" s="120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ht="14.25" customHeight="1">
      <c r="A936" s="120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ht="14.25" customHeight="1">
      <c r="A937" s="120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ht="14.25" customHeight="1">
      <c r="A938" s="120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ht="14.25" customHeight="1">
      <c r="A939" s="120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ht="14.25" customHeight="1">
      <c r="A940" s="120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ht="14.25" customHeight="1">
      <c r="A941" s="120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ht="14.25" customHeight="1">
      <c r="A942" s="120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ht="14.25" customHeight="1">
      <c r="A943" s="120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ht="14.25" customHeight="1">
      <c r="A944" s="120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ht="14.25" customHeight="1">
      <c r="A945" s="120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ht="14.25" customHeight="1">
      <c r="A946" s="120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ht="14.25" customHeight="1">
      <c r="A947" s="120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ht="14.25" customHeight="1">
      <c r="A948" s="120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ht="14.25" customHeight="1">
      <c r="A949" s="120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ht="14.25" customHeight="1">
      <c r="A950" s="120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ht="14.25" customHeight="1">
      <c r="A951" s="120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ht="14.25" customHeight="1">
      <c r="A952" s="120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ht="14.25" customHeight="1">
      <c r="A953" s="120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ht="14.25" customHeight="1">
      <c r="A954" s="120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ht="14.25" customHeight="1">
      <c r="A955" s="120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ht="14.25" customHeight="1">
      <c r="A956" s="120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ht="14.25" customHeight="1">
      <c r="A957" s="120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ht="14.25" customHeight="1">
      <c r="A958" s="120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ht="14.25" customHeight="1">
      <c r="A959" s="120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ht="14.25" customHeight="1">
      <c r="A960" s="120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ht="14.25" customHeight="1">
      <c r="A961" s="120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ht="14.25" customHeight="1">
      <c r="A962" s="120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ht="14.25" customHeight="1">
      <c r="A963" s="120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ht="14.25" customHeight="1">
      <c r="A964" s="120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ht="14.25" customHeight="1">
      <c r="A965" s="120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ht="14.25" customHeight="1">
      <c r="A966" s="120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ht="14.25" customHeight="1">
      <c r="A967" s="120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ht="14.25" customHeight="1">
      <c r="A968" s="120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ht="14.25" customHeight="1">
      <c r="A969" s="120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ht="14.25" customHeight="1">
      <c r="A970" s="120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ht="14.25" customHeight="1">
      <c r="A971" s="120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ht="14.25" customHeight="1">
      <c r="A972" s="120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ht="14.25" customHeight="1">
      <c r="A973" s="120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ht="14.25" customHeight="1">
      <c r="A974" s="120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ht="14.25" customHeight="1">
      <c r="A975" s="120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ht="14.25" customHeight="1">
      <c r="A976" s="120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ht="14.25" customHeight="1">
      <c r="A977" s="120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ht="14.25" customHeight="1">
      <c r="A978" s="120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ht="14.25" customHeight="1">
      <c r="A979" s="120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ht="14.25" customHeight="1">
      <c r="A980" s="120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ht="14.25" customHeight="1">
      <c r="A981" s="120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ht="14.25" customHeight="1">
      <c r="A982" s="120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ht="14.25" customHeight="1">
      <c r="A983" s="120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ht="14.25" customHeight="1">
      <c r="A984" s="120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ht="14.25" customHeight="1">
      <c r="A985" s="120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ht="14.25" customHeight="1">
      <c r="A986" s="120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ht="14.25" customHeight="1">
      <c r="A987" s="120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ht="14.25" customHeight="1">
      <c r="A988" s="120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ht="14.25" customHeight="1">
      <c r="A989" s="120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ht="14.25" customHeight="1">
      <c r="A990" s="120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ht="14.25" customHeight="1">
      <c r="A991" s="120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ht="14.25" customHeight="1">
      <c r="A992" s="120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ht="14.25" customHeight="1">
      <c r="A993" s="120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ht="14.25" customHeight="1">
      <c r="A994" s="120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ht="14.25" customHeight="1">
      <c r="A995" s="120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ht="14.25" customHeight="1">
      <c r="A996" s="120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ht="14.25" customHeight="1">
      <c r="A997" s="120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ht="14.25" customHeight="1">
      <c r="A998" s="120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ht="14.25" customHeight="1">
      <c r="A999" s="120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ht="14.25" customHeight="1">
      <c r="A1000" s="120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showGridLines="0" workbookViewId="0"/>
  </sheetViews>
  <sheetFormatPr customHeight="1" defaultColWidth="12.63" defaultRowHeight="15.0"/>
  <cols>
    <col customWidth="1" min="1" max="3" width="6.0"/>
    <col customWidth="1" min="4" max="4" width="54.5"/>
    <col customWidth="1" min="5" max="26" width="6.0"/>
  </cols>
  <sheetData>
    <row r="1" ht="14.25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4.2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4.2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4.2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4.25" customHeight="1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4.25" customHeight="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4.25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4.25" customHeight="1">
      <c r="A8" s="131"/>
      <c r="B8" s="131"/>
      <c r="C8" s="131"/>
      <c r="D8" s="139" t="s">
        <v>556</v>
      </c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14.25" customHeight="1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4.25" customHeight="1">
      <c r="A10" s="131"/>
      <c r="B10" s="131"/>
      <c r="C10" s="131"/>
      <c r="D10" s="131" t="s">
        <v>557</v>
      </c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4.25" customHeight="1">
      <c r="A11" s="131"/>
      <c r="B11" s="131"/>
      <c r="C11" s="131"/>
      <c r="D11" s="131" t="s">
        <v>558</v>
      </c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14.25" customHeight="1">
      <c r="A12" s="131"/>
      <c r="B12" s="131"/>
      <c r="C12" s="131"/>
      <c r="D12" s="131" t="s">
        <v>559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4.25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4.25" customHeight="1">
      <c r="A14" s="131"/>
      <c r="B14" s="131"/>
      <c r="C14" s="131"/>
      <c r="D14" s="140" t="s">
        <v>560</v>
      </c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4.25" customHeight="1">
      <c r="A15" s="131"/>
      <c r="B15" s="131"/>
      <c r="C15" s="131"/>
      <c r="D15" s="131" t="s">
        <v>561</v>
      </c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4.25" customHeight="1">
      <c r="A16" s="131"/>
      <c r="B16" s="131"/>
      <c r="C16" s="131"/>
      <c r="D16" s="131" t="s">
        <v>562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4.25" customHeight="1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4.25" customHeight="1">
      <c r="A18" s="131"/>
      <c r="B18" s="131"/>
      <c r="C18" s="131"/>
      <c r="D18" s="140" t="s">
        <v>563</v>
      </c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4.25" customHeight="1">
      <c r="A19" s="131"/>
      <c r="B19" s="131"/>
      <c r="C19" s="131"/>
      <c r="D19" s="131" t="s">
        <v>564</v>
      </c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4.25" customHeight="1">
      <c r="A20" s="131"/>
      <c r="B20" s="131"/>
      <c r="C20" s="131"/>
      <c r="D20" s="131" t="s">
        <v>565</v>
      </c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4.25" customHeight="1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14.25" customHeight="1">
      <c r="A22" s="131"/>
      <c r="B22" s="131"/>
      <c r="C22" s="131"/>
      <c r="D22" s="140" t="s">
        <v>566</v>
      </c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ht="14.25" customHeight="1">
      <c r="A23" s="131"/>
      <c r="B23" s="131"/>
      <c r="C23" s="131"/>
      <c r="D23" s="131" t="s">
        <v>567</v>
      </c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14.25" customHeight="1">
      <c r="A24" s="131"/>
      <c r="B24" s="131"/>
      <c r="C24" s="131"/>
      <c r="D24" s="131" t="s">
        <v>568</v>
      </c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4.25" customHeight="1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4.25" customHeight="1">
      <c r="A26" s="131"/>
      <c r="B26" s="131"/>
      <c r="C26" s="131"/>
      <c r="D26" s="140" t="s">
        <v>569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4.25" customHeight="1">
      <c r="A27" s="131"/>
      <c r="B27" s="131"/>
      <c r="C27" s="131"/>
      <c r="D27" s="131" t="s">
        <v>570</v>
      </c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4.25" customHeight="1">
      <c r="A28" s="131"/>
      <c r="B28" s="131"/>
      <c r="C28" s="131"/>
      <c r="D28" s="131" t="s">
        <v>571</v>
      </c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14.25" customHeight="1">
      <c r="A29" s="131"/>
      <c r="B29" s="131"/>
      <c r="C29" s="131"/>
      <c r="D29" s="131" t="s">
        <v>572</v>
      </c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14.25" customHeight="1">
      <c r="A30" s="131"/>
      <c r="B30" s="131"/>
      <c r="C30" s="131"/>
      <c r="D30" s="131" t="s">
        <v>573</v>
      </c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4.25" customHeight="1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4.25" customHeight="1">
      <c r="A32" s="131"/>
      <c r="B32" s="131"/>
      <c r="C32" s="131"/>
      <c r="D32" s="140" t="s">
        <v>574</v>
      </c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4.25" customHeight="1">
      <c r="A33" s="131"/>
      <c r="B33" s="131"/>
      <c r="C33" s="131"/>
      <c r="D33" s="131" t="s">
        <v>575</v>
      </c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4.25" customHeight="1">
      <c r="A34" s="131"/>
      <c r="B34" s="131"/>
      <c r="C34" s="131"/>
      <c r="D34" s="131" t="s">
        <v>576</v>
      </c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4.25" customHeight="1">
      <c r="A35" s="131"/>
      <c r="B35" s="131"/>
      <c r="C35" s="131"/>
      <c r="D35" s="131" t="s">
        <v>577</v>
      </c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4.25" customHeight="1">
      <c r="A36" s="131"/>
      <c r="B36" s="131"/>
      <c r="C36" s="131"/>
      <c r="D36" s="131" t="s">
        <v>578</v>
      </c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4.25" customHeight="1">
      <c r="A37" s="131"/>
      <c r="B37" s="131"/>
      <c r="C37" s="131"/>
      <c r="D37" s="131" t="s">
        <v>579</v>
      </c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4.25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ht="14.25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ht="14.25" customHeight="1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ht="14.25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4.2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4.2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ht="14.25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4.2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ht="14.2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ht="14.25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14.25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ht="14.25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ht="14.25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ht="14.25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ht="14.25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ht="14.25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ht="14.25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ht="14.25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ht="14.25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ht="14.2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ht="14.2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ht="14.25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ht="14.2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ht="14.25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ht="14.25" customHeight="1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4.25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ht="14.2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4.2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14.2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4.2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4.25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4.2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4.2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ht="14.25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ht="14.2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4.2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4.25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ht="14.2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ht="14.2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ht="14.25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14.2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4.2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ht="14.2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ht="14.2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ht="14.2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4.25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4.2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4.2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4.25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4.2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4.2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ht="14.25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ht="14.2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ht="14.2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ht="14.2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14.2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ht="14.2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ht="14.2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ht="14.2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ht="14.2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4.2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ht="14.2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ht="14.2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ht="14.2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ht="14.2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ht="14.2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ht="14.2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ht="14.2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ht="14.2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ht="14.2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ht="14.2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ht="14.2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4.2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4.2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ht="14.2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ht="14.2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ht="14.2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ht="14.2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ht="14.2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ht="14.2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ht="14.2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ht="14.2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4.2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ht="14.2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ht="14.2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ht="14.2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4.2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4.2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14.2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14.2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14.2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14.2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14.2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14.2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14.2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14.2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14.2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14.2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4.2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14.2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4.2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14.2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14.2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14.2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14.2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14.2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14.2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14.2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14.2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14.2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14.2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14.2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14.2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ht="14.2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14.2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14.2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14.2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14.2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14.2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14.2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14.2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14.2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14.2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14.2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14.2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14.2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14.2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14.2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14.2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14.2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14.2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14.2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14.2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14.2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14.2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14.2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14.2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14.2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14.2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14.2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14.2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14.2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14.2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14.2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14.2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14.2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14.2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14.2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14.2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14.2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14.2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14.2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14.2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14.2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14.2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14.2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14.2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14.2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14.2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14.2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14.2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14.2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14.2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14.2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14.2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14.2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14.2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14.2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14.2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14.2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14.2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14.2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14.2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14.2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14.2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14.2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14.2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14.2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14.2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14.2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14.2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14.2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14.2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14.2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14.2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14.2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14.2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14.2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14.2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14.2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14.2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14.2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14.2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14.2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14.2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14.2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14.2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14.2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14.2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14.2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14.2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14.2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14.2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14.2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14.2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14.2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14.2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14.2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14.2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14.2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14.2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14.2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14.2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14.2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14.2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14.2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14.2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14.2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14.2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14.2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14.2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14.2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14.2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14.2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14.2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14.2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14.2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14.2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14.2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14.2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14.2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14.2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14.2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14.2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14.2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14.2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14.2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14.2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14.2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14.2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14.2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14.2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14.2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14.2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14.2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4.2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14.2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14.2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14.2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14.2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14.2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14.2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14.2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14.2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14.2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14.2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14.2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14.2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14.2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14.2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14.2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14.2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14.2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14.2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14.2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14.2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14.2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ht="14.2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ht="14.2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ht="14.2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ht="14.2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ht="14.2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ht="14.2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ht="14.2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ht="14.2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ht="14.2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ht="14.2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ht="14.2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ht="14.2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ht="14.2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ht="14.2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ht="14.2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ht="14.2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ht="14.2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ht="14.2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ht="14.2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ht="14.2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ht="14.2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ht="14.2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ht="14.2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ht="14.2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ht="14.2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ht="14.2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ht="14.2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ht="14.2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ht="14.2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ht="14.2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ht="14.2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ht="14.2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ht="14.2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ht="14.2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ht="14.2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ht="14.2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ht="14.2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ht="14.2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ht="14.2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ht="14.2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ht="14.2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ht="14.2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ht="14.2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ht="14.2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ht="14.2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ht="14.2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ht="14.2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ht="14.2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ht="14.2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ht="14.2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ht="14.2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ht="14.2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ht="14.2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ht="14.2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ht="14.2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ht="14.2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ht="14.2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ht="14.2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ht="14.2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ht="14.2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ht="14.2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ht="14.2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ht="14.2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ht="14.2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ht="14.2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ht="14.2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ht="14.2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ht="14.2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ht="14.2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ht="14.2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ht="14.2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ht="14.2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ht="14.2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ht="14.2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ht="14.2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ht="14.2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ht="14.2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ht="14.2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ht="14.2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ht="14.2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ht="14.2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ht="14.2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ht="14.2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ht="14.2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ht="14.2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ht="14.2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ht="14.2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ht="14.2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ht="14.2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ht="14.2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ht="14.2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ht="14.2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ht="14.2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ht="14.2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ht="14.2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ht="14.2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ht="14.2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ht="14.2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ht="14.2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ht="14.2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ht="14.2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ht="14.2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ht="14.2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ht="14.2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ht="14.2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ht="14.2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ht="14.2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ht="14.2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ht="14.2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ht="14.2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ht="14.2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ht="14.2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ht="14.2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ht="14.2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ht="14.2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ht="14.2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ht="14.2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ht="14.2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ht="14.2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ht="14.2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ht="14.2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ht="14.2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ht="14.2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ht="14.2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ht="14.2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ht="14.2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ht="14.2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ht="14.2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ht="14.2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ht="14.2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ht="14.2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ht="14.2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ht="14.2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ht="14.2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ht="14.2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ht="14.2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ht="14.2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ht="14.2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ht="14.2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ht="14.2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ht="14.2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ht="14.2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ht="14.2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ht="14.2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ht="14.2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ht="14.2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ht="14.2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ht="14.2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ht="14.2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ht="14.2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ht="14.2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ht="14.2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ht="14.2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ht="14.2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ht="14.2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ht="14.2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ht="14.2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ht="14.2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ht="14.2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ht="14.2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ht="14.2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ht="14.2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ht="14.2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ht="14.2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ht="14.2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ht="14.2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ht="14.2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ht="14.2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ht="14.2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ht="14.2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ht="14.2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ht="14.2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ht="14.2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ht="14.2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ht="14.2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ht="14.2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ht="14.2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ht="14.2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ht="14.2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ht="14.2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ht="14.2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ht="14.2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ht="14.2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ht="14.2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ht="14.2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ht="14.2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ht="14.2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ht="14.2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ht="14.2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ht="14.2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ht="14.2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ht="14.2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ht="14.2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ht="14.2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ht="14.2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ht="14.2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ht="14.2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ht="14.2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ht="14.2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ht="14.2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ht="14.2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ht="14.2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ht="14.2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ht="14.2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ht="14.2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ht="14.2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ht="14.2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ht="14.2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ht="14.2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4.2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4.2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4.2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4.2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ht="14.2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ht="14.2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ht="14.2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ht="14.2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ht="14.2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ht="14.2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ht="14.2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ht="14.2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ht="14.2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ht="14.2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ht="14.2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ht="14.2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ht="14.2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ht="14.2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ht="14.2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ht="14.2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ht="14.2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ht="14.2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ht="14.2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ht="14.2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ht="14.2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ht="14.2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ht="14.2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ht="14.2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ht="14.2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ht="14.2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ht="14.2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ht="14.2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ht="14.2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ht="14.2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ht="14.2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ht="14.2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ht="14.2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ht="14.2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ht="14.2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ht="14.2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ht="14.2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ht="14.2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ht="14.2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ht="14.2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ht="14.2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ht="14.2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ht="14.2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ht="14.2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ht="14.2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ht="14.2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ht="14.2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ht="14.2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ht="14.2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ht="14.2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ht="14.2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ht="14.2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ht="14.2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ht="14.2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ht="14.2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ht="14.2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ht="14.2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ht="14.2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ht="14.2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ht="14.2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ht="14.2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ht="14.2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ht="14.2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ht="14.2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ht="14.2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ht="14.2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ht="14.2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ht="14.2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ht="14.2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ht="14.2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ht="14.2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ht="14.2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ht="14.2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ht="14.2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ht="14.2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ht="14.2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ht="14.2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ht="14.2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ht="14.2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ht="14.2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ht="14.2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ht="14.2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ht="14.2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ht="14.2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ht="14.2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ht="14.2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ht="14.2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ht="14.2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ht="14.2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ht="14.2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ht="14.2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ht="14.2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ht="14.2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ht="14.2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ht="14.2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ht="14.2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ht="14.2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ht="14.2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ht="14.2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ht="14.2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ht="14.2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ht="14.2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ht="14.2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ht="14.2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ht="14.2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ht="14.2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ht="14.2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ht="14.2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ht="14.2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ht="14.2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ht="14.2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ht="14.2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ht="14.2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ht="14.2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ht="14.2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ht="14.2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ht="14.2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ht="14.2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ht="14.2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ht="14.2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ht="14.2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ht="14.2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ht="14.2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ht="14.2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ht="14.2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ht="14.2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ht="14.2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ht="14.2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ht="14.2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ht="14.2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ht="14.2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ht="14.2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ht="14.2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ht="14.2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ht="14.2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ht="14.2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ht="14.2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ht="14.2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ht="14.2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ht="14.2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ht="14.2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ht="14.2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ht="14.2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ht="14.2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ht="14.2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ht="14.2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ht="14.2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ht="14.2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ht="14.2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ht="14.2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ht="14.2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ht="14.2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ht="14.2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ht="14.2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ht="14.2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ht="14.2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ht="14.2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ht="14.2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ht="14.2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ht="14.2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ht="14.2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ht="14.2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ht="14.2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ht="14.2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ht="14.2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ht="14.2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ht="14.2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ht="14.2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ht="14.2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ht="14.2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ht="14.2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ht="14.2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ht="14.2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ht="14.2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ht="14.2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ht="14.2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ht="14.2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ht="14.2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ht="14.2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ht="14.2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ht="14.2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ht="14.2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ht="14.2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ht="14.2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ht="14.2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ht="14.2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ht="14.2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ht="14.2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ht="14.2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ht="14.2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ht="14.2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ht="14.2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ht="14.2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ht="14.2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ht="14.2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ht="14.2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ht="14.2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ht="14.2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ht="14.2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ht="14.2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ht="14.2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ht="14.2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ht="14.2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ht="14.2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ht="14.2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ht="14.2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ht="14.2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ht="14.2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ht="14.2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ht="14.2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ht="14.2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ht="14.2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ht="14.2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ht="14.2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ht="14.2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ht="14.2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ht="14.2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ht="14.2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ht="14.2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ht="14.2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ht="14.2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ht="14.2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ht="14.2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ht="14.2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ht="14.2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ht="14.2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ht="14.2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ht="14.2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ht="14.2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ht="14.2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ht="14.2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ht="14.2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ht="14.2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ht="14.2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ht="14.2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ht="14.2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ht="14.2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ht="14.2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ht="14.2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ht="14.2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ht="14.2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ht="14.2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ht="14.2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ht="14.2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ht="14.2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ht="14.2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ht="14.2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ht="14.2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ht="14.2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ht="14.2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ht="14.2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ht="14.2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ht="14.2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ht="14.2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ht="14.2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ht="14.2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ht="14.2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ht="14.2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ht="14.2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ht="14.2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ht="14.2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ht="14.2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ht="14.2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ht="14.2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ht="14.2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ht="14.2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ht="14.2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ht="14.2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ht="14.2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ht="14.2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ht="14.2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ht="14.2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ht="14.2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ht="14.2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ht="14.2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ht="14.2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ht="14.2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ht="14.2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ht="14.2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ht="14.2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ht="14.2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ht="14.2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ht="14.2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ht="14.2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ht="14.2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ht="14.2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ht="14.2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ht="14.2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ht="14.2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ht="14.2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ht="14.2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ht="14.2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ht="14.2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ht="14.2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ht="14.2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ht="14.2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ht="14.2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ht="14.2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ht="14.2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ht="14.2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ht="14.2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ht="14.2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ht="14.2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ht="14.2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ht="14.2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ht="14.2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ht="14.2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ht="14.2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ht="14.2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ht="14.2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ht="14.2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ht="14.2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ht="14.2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ht="14.2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ht="14.2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ht="14.2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ht="14.2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ht="14.2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ht="14.2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ht="14.2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ht="14.2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ht="14.2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ht="14.2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ht="14.2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ht="14.2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ht="14.2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ht="14.2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ht="14.2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ht="14.2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ht="14.2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ht="14.2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ht="14.2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ht="14.2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ht="14.2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ht="14.2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ht="14.2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ht="14.2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ht="14.2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ht="14.2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ht="14.2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ht="14.2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ht="14.2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ht="14.2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ht="14.2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ht="14.2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ht="14.2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ht="14.2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ht="14.2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ht="14.2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ht="14.2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ht="14.2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ht="14.2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ht="14.2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ht="14.2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ht="14.2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ht="14.2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ht="14.2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ht="14.2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ht="14.2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ht="14.2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ht="14.2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ht="14.2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ht="14.2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ht="14.2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ht="14.2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ht="14.2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ht="14.2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ht="14.2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ht="14.2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ht="14.2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ht="14.2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ht="14.2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ht="14.2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ht="14.2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ht="14.2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ht="14.2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ht="14.2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ht="14.2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ht="14.2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ht="14.2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ht="14.2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ht="14.2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ht="14.2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ht="14.2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ht="14.2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ht="14.2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ht="14.2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ht="14.2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ht="14.2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ht="14.2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ht="14.2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ht="14.2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ht="14.2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ht="14.2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ht="14.2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ht="14.2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ht="14.2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ht="14.2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ht="14.2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ht="14.2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ht="14.2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ht="14.2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ht="14.2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ht="14.2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ht="14.2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ht="14.2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ht="14.2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ht="14.2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ht="14.2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ht="14.2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ht="14.2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ht="14.2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ht="14.2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ht="14.2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ht="14.2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ht="14.2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ht="14.2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ht="14.2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ht="14.2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ht="14.2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ht="14.2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ht="14.2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ht="14.2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ht="14.2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ht="14.2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ht="14.2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ht="14.2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ht="14.2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ht="14.2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ht="14.2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ht="14.2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ht="14.2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ht="14.2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ht="14.2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ht="14.2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ht="14.2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ht="14.2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ht="14.2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ht="14.2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ht="14.2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ht="14.2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ht="14.2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ht="14.2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ht="14.2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ht="14.2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ht="14.2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ht="14.2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ht="14.2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ht="14.2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ht="14.2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ht="14.2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ht="14.2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ht="14.2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ht="14.2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ht="14.2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ht="14.2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ht="14.2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ht="14.2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ht="14.2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ht="14.2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ht="14.2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ht="14.2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ht="14.2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ht="14.2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ht="14.2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ht="14.2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ht="14.2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ht="14.2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ht="14.2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ht="14.2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ht="14.2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ht="14.2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ht="14.2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ht="14.2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ht="14.2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ht="14.2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ht="14.2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ht="14.2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ht="14.2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ht="14.2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ht="14.2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ht="14.2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ht="14.2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2025-09-03T07:26:57Z</dcterms:created>
  <dc:creator>김연우</dc:creator>
</cp:coreProperties>
</file>